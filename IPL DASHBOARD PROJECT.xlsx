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7e78fcd6b550c18/Desktop/"/>
    </mc:Choice>
  </mc:AlternateContent>
  <xr:revisionPtr revIDLastSave="1013" documentId="8_{111D4F33-730D-4252-B204-265860881D38}" xr6:coauthVersionLast="47" xr6:coauthVersionMax="47" xr10:uidLastSave="{9EA66BE2-FAAA-49C2-818C-0D90AF8DCB67}"/>
  <bookViews>
    <workbookView xWindow="-108" yWindow="-108" windowWidth="23256" windowHeight="13896" firstSheet="9" activeTab="11" xr2:uid="{301790E3-0FD7-4AC8-A6FA-38CED41D0106}"/>
  </bookViews>
  <sheets>
    <sheet name="fact_player" sheetId="6" r:id="rId1"/>
    <sheet name="dim_venue" sheetId="5" r:id="rId2"/>
    <sheet name="fact_match" sheetId="4" r:id="rId3"/>
    <sheet name="dim_team" sheetId="3" r:id="rId4"/>
    <sheet name="dim_player" sheetId="2" r:id="rId5"/>
    <sheet name="Sheet5" sheetId="10" r:id="rId6"/>
    <sheet name="Sheet1" sheetId="15" r:id="rId7"/>
    <sheet name="Sheet2" sheetId="16" r:id="rId8"/>
    <sheet name="Team_summary" sheetId="9" r:id="rId9"/>
    <sheet name="Player_Summary" sheetId="11" r:id="rId10"/>
    <sheet name="Sheet3" sheetId="8" r:id="rId11"/>
    <sheet name="Player Performance Dashboard" sheetId="17" r:id="rId12"/>
    <sheet name="Team Performance Dashboard" sheetId="14" r:id="rId13"/>
  </sheets>
  <definedNames>
    <definedName name="_xlcn.WorksheetConnection_IPLDASHBOARDPROJECT.xlsxdim_player1" hidden="1">dim_player[]</definedName>
    <definedName name="_xlcn.WorksheetConnection_IPLDASHBOARDPROJECT.xlsxdim_team1" hidden="1">dim_team[]</definedName>
    <definedName name="_xlcn.WorksheetConnection_IPLDASHBOARDPROJECT.xlsxdim_venue1" hidden="1">dim_venue[]</definedName>
    <definedName name="_xlcn.WorksheetConnection_IPLDASHBOARDPROJECT.xlsxfact_match1" hidden="1">fact_match[]</definedName>
    <definedName name="_xlcn.WorksheetConnection_IPLDASHBOARDPROJECT.xlsxfact_player1" hidden="1">fact_player[]</definedName>
    <definedName name="ExternalData_1" localSheetId="4" hidden="1">dim_player!$A$1:$H$34</definedName>
    <definedName name="ExternalData_1" localSheetId="6" hidden="1">Sheet1!$A$3:$U$63</definedName>
    <definedName name="ExternalData_1" localSheetId="7" hidden="1">Sheet2!$A$3:$U$63</definedName>
    <definedName name="ExternalData_1" localSheetId="5" hidden="1">Sheet5!$A$3:$U$11</definedName>
    <definedName name="ExternalData_2" localSheetId="3" hidden="1">dim_team!$A$1:$G$9</definedName>
    <definedName name="ExternalData_3" localSheetId="2" hidden="1">fact_match!$A$1:$N$61</definedName>
    <definedName name="ExternalData_4" localSheetId="1" hidden="1">dim_venue!$A$1:$D$11</definedName>
    <definedName name="ExternalData_5" localSheetId="0" hidden="1">fact_player!$A$1:$K$202</definedName>
    <definedName name="Slicer_Team_Name">#N/A</definedName>
    <definedName name="Slicer_Venue_Name">#N/A</definedName>
  </definedNames>
  <calcPr calcId="191029"/>
  <pivotCaches>
    <pivotCache cacheId="14" r:id="rId14"/>
    <pivotCache cacheId="17" r:id="rId15"/>
    <pivotCache cacheId="20" r:id="rId16"/>
    <pivotCache cacheId="23" r:id="rId17"/>
    <pivotCache cacheId="26" r:id="rId18"/>
    <pivotCache cacheId="29" r:id="rId19"/>
    <pivotCache cacheId="32" r:id="rId20"/>
    <pivotCache cacheId="35" r:id="rId21"/>
    <pivotCache cacheId="38" r:id="rId22"/>
    <pivotCache cacheId="41" r:id="rId23"/>
    <pivotCache cacheId="44" r:id="rId24"/>
  </pivotCaches>
  <fileRecoveryPr repairLoad="1"/>
  <extLst>
    <ext xmlns:x14="http://schemas.microsoft.com/office/spreadsheetml/2009/9/main" uri="{876F7934-8845-4945-9796-88D515C7AA90}">
      <x14:pivotCaches>
        <pivotCache cacheId="11"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IPL DASHBOARD PROJECT.xlsx!fact_player"/>
          <x15:modelTable id="fact_match" name="fact_match" connection="WorksheetConnection_IPL DASHBOARD PROJECT.xlsx!fact_match"/>
          <x15:modelTable id="dim_venue" name="dim_venue" connection="WorksheetConnection_IPL DASHBOARD PROJECT.xlsx!dim_venue"/>
          <x15:modelTable id="dim_team" name="dim_team" connection="WorksheetConnection_IPL DASHBOARD PROJECT.xlsx!dim_team"/>
          <x15:modelTable id="dim_player" name="dim_player" connection="WorksheetConnection_IPL DASHBOARD PROJECT.xlsx!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Venue_ID" toTable="dim_venue" toColumn="Venue_ID"/>
          <x15:modelRelationship fromTable="fact_match" fromColumn="Team1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9" l="1"/>
  <c r="M5" i="14" s="1"/>
  <c r="U5" i="14"/>
  <c r="Q5" i="14"/>
  <c r="I5" i="14"/>
  <c r="J6" i="17"/>
  <c r="F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353545-AE16-41EA-B325-D2DE16AA51C7}" keepAlive="1" name="ModelConnection_ExternalData_1" description="Data Model" type="5" refreshedVersion="8" minRefreshableVersion="5" saveData="1">
    <dbPr connection="Data Model Connection" command="DRILLTHROUGH MAXROWS 1000 SELECT FROM [Model] WHERE (([Measures].[TeamWins],[dim_team].[Team_Name].&amp;[Chennai Super Kings (CSK)])) RETURN [$fact_match].[Match_ID],[$fact_match].[Date],[$fact_match].[Venue_ID],[$fact_match].[Team1_ID],[$fact_match].[Team2_ID],[$fact_match].[Toss_Winner],[$fact_match].[Match_Winner],[$fact_match].[Man_of_Match],[$fact_match].[Team1_Runs],[$fact_match].[Team2_Runs],[$fact_match].[Team1_Wickets],[$fact_match].[Team2_Wickets],[$fact_match].[Overs_Team1],[$fact_match].[Overs_Team2],[$fact_match].[Total_Runs],[$fact_match].[Win_Margin],[$fact_match].[Win_Type],[$fact_match].[Team1_Name],[$fact_match].[Venue_Name],[$fact_match].[Home_Team],[$fact_match].[IS_HOME_WINNER]" commandType="4"/>
    <extLst>
      <ext xmlns:x15="http://schemas.microsoft.com/office/spreadsheetml/2010/11/main" uri="{DE250136-89BD-433C-8126-D09CA5730AF9}">
        <x15:connection id="" model="1"/>
      </ext>
    </extLst>
  </connection>
  <connection id="2" xr16:uid="{C688659D-B5EA-41BB-926D-F8FC94345627}" keepAlive="1" name="ModelConnection_ExternalData_11" description="Data Model" type="5" refreshedVersion="8" minRefreshableVersion="5" saveData="1">
    <dbPr connection="Data Model Connection" command="DRILLTHROUGH MAXROWS 1000 SELECT FROM [Model] WHERE ([fact_match].[Venue_Name].[All],[Measures].[Count of Match_ID]) RETURN [$fact_match].[Match_ID],[$fact_match].[Date],[$fact_match].[Venue_ID],[$fact_match].[Team1_ID],[$fact_match].[Team2_ID],[$fact_match].[Toss_Winner],[$fact_match].[Match_Winner],[$fact_match].[Man_of_Match],[$fact_match].[Team1_Runs],[$fact_match].[Team2_Runs],[$fact_match].[Team1_Wickets],[$fact_match].[Team2_Wickets],[$fact_match].[Overs_Team1],[$fact_match].[Overs_Team2],[$fact_match].[Total_Runs],[$fact_match].[Win_Margin],[$fact_match].[Win_Type],[$fact_match].[Team1_Name],[$fact_match].[Venue_Name],[$fact_match].[Home_Team],[$fact_match].[IS_HOME_WINNER]" commandType="4"/>
    <extLst>
      <ext xmlns:x15="http://schemas.microsoft.com/office/spreadsheetml/2010/11/main" uri="{DE250136-89BD-433C-8126-D09CA5730AF9}">
        <x15:connection id="" model="1"/>
      </ext>
    </extLst>
  </connection>
  <connection id="3" xr16:uid="{E35F6393-F08E-4896-99FD-AEB5D238A19A}" keepAlive="1" name="ModelConnection_ExternalData_12" description="Data Model" type="5" refreshedVersion="8" minRefreshableVersion="5" saveData="1">
    <dbPr connection="Data Model Connection" command="DRILLTHROUGH MAXROWS 1000 SELECT FROM [Model] WHERE ([fact_match].[Venue_Name].[All],[Measures].[Count of Match_ID]) RETURN [$fact_match].[Match_ID],[$fact_match].[Date],[$fact_match].[Venue_ID],[$fact_match].[Team1_ID],[$fact_match].[Team2_ID],[$fact_match].[Toss_Winner],[$fact_match].[Match_Winner],[$fact_match].[Man_of_Match],[$fact_match].[Team1_Runs],[$fact_match].[Team2_Runs],[$fact_match].[Team1_Wickets],[$fact_match].[Team2_Wickets],[$fact_match].[Overs_Team1],[$fact_match].[Overs_Team2],[$fact_match].[Total_Runs],[$fact_match].[Win_Margin],[$fact_match].[Win_Type],[$fact_match].[Team1_Name],[$fact_match].[Venue_Name],[$fact_match].[Home_Team],[$fact_match].[IS_HOME_WINNER]" commandType="4"/>
    <extLst>
      <ext xmlns:x15="http://schemas.microsoft.com/office/spreadsheetml/2010/11/main" uri="{DE250136-89BD-433C-8126-D09CA5730AF9}">
        <x15:connection id="" model="1"/>
      </ext>
    </extLst>
  </connection>
  <connection id="4" xr16:uid="{A3853361-8DDF-4B25-B5B1-08FC722465BC}"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5" xr16:uid="{81B101D8-8A00-4908-8201-4BF8B17BC8F1}"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6" xr16:uid="{0B7E5221-F2CC-4D64-B456-6B57B6F663A4}"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7" xr16:uid="{FC4083E3-52F8-4176-A2F3-1CADA3115E75}"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8" xr16:uid="{BCC3AF26-4346-4F3D-8FC8-B0C9E1C00B65}"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9" xr16:uid="{9A5342AF-F308-463D-A322-73DC905876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668CDF1-BF2C-4ECE-82B0-4D69AB238555}" name="WorksheetConnection_IPL DASHBOARD PROJECT.xlsx!dim_player" type="102" refreshedVersion="8" minRefreshableVersion="5">
    <extLst>
      <ext xmlns:x15="http://schemas.microsoft.com/office/spreadsheetml/2010/11/main" uri="{DE250136-89BD-433C-8126-D09CA5730AF9}">
        <x15:connection id="dim_player">
          <x15:rangePr sourceName="_xlcn.WorksheetConnection_IPLDASHBOARDPROJECT.xlsxdim_player1"/>
        </x15:connection>
      </ext>
    </extLst>
  </connection>
  <connection id="11" xr16:uid="{454B2B09-AB3E-489B-8501-78BA683D5284}" name="WorksheetConnection_IPL DASHBOARD PROJECT.xlsx!dim_team" type="102" refreshedVersion="8" minRefreshableVersion="5">
    <extLst>
      <ext xmlns:x15="http://schemas.microsoft.com/office/spreadsheetml/2010/11/main" uri="{DE250136-89BD-433C-8126-D09CA5730AF9}">
        <x15:connection id="dim_team">
          <x15:rangePr sourceName="_xlcn.WorksheetConnection_IPLDASHBOARDPROJECT.xlsxdim_team1"/>
        </x15:connection>
      </ext>
    </extLst>
  </connection>
  <connection id="12" xr16:uid="{1701FAEF-CD28-4221-8BA1-D007CF62B541}" name="WorksheetConnection_IPL DASHBOARD PROJECT.xlsx!dim_venue" type="102" refreshedVersion="8" minRefreshableVersion="5">
    <extLst>
      <ext xmlns:x15="http://schemas.microsoft.com/office/spreadsheetml/2010/11/main" uri="{DE250136-89BD-433C-8126-D09CA5730AF9}">
        <x15:connection id="dim_venue">
          <x15:rangePr sourceName="_xlcn.WorksheetConnection_IPLDASHBOARDPROJECT.xlsxdim_venue1"/>
        </x15:connection>
      </ext>
    </extLst>
  </connection>
  <connection id="13" xr16:uid="{79797E6A-820F-4961-B39C-CF745D8D2AAD}" name="WorksheetConnection_IPL DASHBOARD PROJECT.xlsx!fact_match" type="102" refreshedVersion="8" minRefreshableVersion="5">
    <extLst>
      <ext xmlns:x15="http://schemas.microsoft.com/office/spreadsheetml/2010/11/main" uri="{DE250136-89BD-433C-8126-D09CA5730AF9}">
        <x15:connection id="fact_match">
          <x15:rangePr sourceName="_xlcn.WorksheetConnection_IPLDASHBOARDPROJECT.xlsxfact_match1"/>
        </x15:connection>
      </ext>
    </extLst>
  </connection>
  <connection id="14" xr16:uid="{8BB30EEE-F72D-4055-850F-AD42B349474A}" name="WorksheetConnection_IPL DASHBOARD PROJECT.xlsx!fact_player" type="102" refreshedVersion="8" minRefreshableVersion="5">
    <extLst>
      <ext xmlns:x15="http://schemas.microsoft.com/office/spreadsheetml/2010/11/main" uri="{DE250136-89BD-433C-8126-D09CA5730AF9}">
        <x15:connection id="fact_player">
          <x15:rangePr sourceName="_xlcn.WorksheetConnection_IPLDASHBOARDPROJECT.xlsxfact_player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team].[Team_Name].[All]}"/>
  </metadataStrings>
  <mdxMetadata count="1">
    <mdx n="0" f="s">
      <ms ns="1" c="0"/>
    </mdx>
  </mdxMetadata>
  <valueMetadata count="1">
    <bk>
      <rc t="1" v="0"/>
    </bk>
  </valueMetadata>
</metadata>
</file>

<file path=xl/sharedStrings.xml><?xml version="1.0" encoding="utf-8"?>
<sst xmlns="http://schemas.openxmlformats.org/spreadsheetml/2006/main" count="2917" uniqueCount="392">
  <si>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</si>
  <si>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</si>
  <si>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</si>
  <si>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</si>
  <si>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</si>
  <si>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</si>
  <si>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</si>
  <si>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</si>
  <si>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</si>
  <si>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</si>
  <si>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</si>
  <si>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</si>
  <si>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</si>
  <si>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</si>
  <si>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</si>
  <si>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</si>
  <si>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</si>
  <si>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</si>
  <si>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</si>
  <si>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</si>
  <si>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</si>
  <si>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</si>
  <si>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</si>
  <si>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</si>
  <si>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</si>
  <si>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</si>
  <si>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</si>
  <si>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</si>
  <si>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</si>
  <si>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</si>
  <si>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</si>
  <si>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</si>
  <si>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</si>
  <si>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</si>
  <si>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</si>
  <si>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</si>
  <si>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</si>
  <si>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</si>
  <si>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</si>
  <si>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</si>
  <si>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</si>
  <si>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</si>
  <si>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</si>
  <si>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</si>
  <si>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</si>
  <si>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</si>
  <si>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</si>
  <si>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</si>
  <si>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</si>
  <si>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</si>
  <si>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</si>
  <si>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</si>
  <si>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</si>
  <si>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</si>
  <si>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</si>
  <si>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</si>
  <si>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</si>
  <si>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</si>
  <si>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</si>
  <si>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</si>
  <si>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</si>
  <si>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</si>
  <si>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</si>
  <si>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</si>
  <si>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</si>
  <si>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</si>
  <si>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</si>
  <si>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</si>
  <si>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</si>
  <si>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</si>
  <si>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</si>
  <si>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</si>
  <si>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</si>
  <si>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</si>
  <si>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</si>
  <si>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</si>
  <si>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</si>
  <si>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</si>
  <si>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</si>
  <si>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</si>
  <si>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</si>
  <si>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</si>
  <si>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</si>
  <si>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</si>
  <si>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</si>
  <si>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</si>
  <si>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</si>
  <si>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</si>
  <si>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</si>
  <si>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</si>
  <si>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</si>
  <si>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</si>
  <si>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</si>
  <si>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</si>
  <si>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</si>
  <si>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</si>
  <si>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</si>
  <si>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</si>
  <si>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</si>
  <si>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</si>
  <si>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</si>
  <si>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</si>
  <si>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</si>
  <si>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</si>
  <si>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</si>
  <si>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</si>
  <si>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</si>
  <si>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</si>
  <si>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</si>
  <si>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</si>
  <si>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</si>
  <si>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</si>
  <si>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</si>
  <si>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</si>
  <si>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</si>
  <si>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</si>
  <si>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</si>
  <si>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</si>
  <si>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</si>
  <si>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</si>
  <si>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</si>
  <si>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</si>
  <si>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</si>
  <si>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</si>
  <si>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</si>
  <si>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</si>
  <si>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</si>
  <si>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</si>
  <si>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</si>
  <si>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</si>
  <si>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</si>
  <si>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</si>
  <si>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</si>
  <si>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</si>
  <si>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</si>
  <si>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</si>
  <si>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</si>
  <si>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</si>
  <si>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</si>
  <si>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</si>
  <si>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</si>
  <si>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</si>
  <si>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</si>
  <si>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</si>
  <si>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</si>
  <si>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</si>
  <si>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</si>
  <si>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</si>
  <si>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</si>
  <si>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</si>
  <si>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</si>
  <si>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</si>
  <si>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</si>
  <si>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</si>
  <si>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</si>
  <si>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</si>
  <si>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</si>
  <si>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</si>
  <si>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</si>
  <si>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Match_ID</t>
  </si>
  <si>
    <t>Date</t>
  </si>
  <si>
    <t>Venue_ID</t>
  </si>
  <si>
    <t>Team1_ID</t>
  </si>
  <si>
    <t>Team2_ID</t>
  </si>
  <si>
    <t>Toss_Winner</t>
  </si>
  <si>
    <t>Match_Winner</t>
  </si>
  <si>
    <t>Man_of_Match</t>
  </si>
  <si>
    <t>Team1_Runs</t>
  </si>
  <si>
    <t>Team2_Runs</t>
  </si>
  <si>
    <t>Team1_Wickets</t>
  </si>
  <si>
    <t>Team2_Wickets</t>
  </si>
  <si>
    <t>Overs_Team1</t>
  </si>
  <si>
    <t>Overs_Team2</t>
  </si>
  <si>
    <t>M001</t>
  </si>
  <si>
    <t>V02</t>
  </si>
  <si>
    <t>M002</t>
  </si>
  <si>
    <t>V08</t>
  </si>
  <si>
    <t>M003</t>
  </si>
  <si>
    <t>V04</t>
  </si>
  <si>
    <t>M004</t>
  </si>
  <si>
    <t>V06</t>
  </si>
  <si>
    <t>M005</t>
  </si>
  <si>
    <t>V03</t>
  </si>
  <si>
    <t>M006</t>
  </si>
  <si>
    <t>V05</t>
  </si>
  <si>
    <t>M007</t>
  </si>
  <si>
    <t>M008</t>
  </si>
  <si>
    <t>V01</t>
  </si>
  <si>
    <t>M009</t>
  </si>
  <si>
    <t>M010</t>
  </si>
  <si>
    <t>M011</t>
  </si>
  <si>
    <t>V07</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</si>
  <si>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</si>
  <si>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</si>
  <si>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</si>
  <si>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</si>
  <si>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</si>
  <si>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</si>
  <si>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</si>
  <si>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</si>
  <si>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</si>
  <si>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</si>
  <si>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</si>
  <si>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</si>
  <si>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</si>
  <si>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</si>
  <si>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</si>
  <si>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</si>
  <si>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</si>
  <si>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</si>
  <si>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</si>
  <si>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</si>
  <si>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</si>
  <si>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</si>
  <si>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</si>
  <si>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</si>
  <si>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</si>
  <si>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</si>
  <si>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</si>
  <si>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</si>
  <si>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</si>
  <si>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</si>
  <si>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</si>
  <si>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</si>
  <si>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</si>
  <si>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</si>
  <si>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</si>
  <si>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</si>
  <si>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</si>
  <si>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</si>
  <si>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</si>
  <si>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</si>
  <si>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</si>
  <si>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</si>
  <si>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</si>
  <si>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</si>
  <si>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</si>
  <si>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</si>
  <si>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</si>
  <si>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</si>
  <si>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</si>
  <si>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Venue_Name</t>
  </si>
  <si>
    <t>Capacity</t>
  </si>
  <si>
    <t>V09</t>
  </si>
  <si>
    <t>Narendra Modi Stadium</t>
  </si>
  <si>
    <t>Ahmedabad</t>
  </si>
  <si>
    <t>V10</t>
  </si>
  <si>
    <t>Bharat Ratna Shri Atal Bihari Vajpayee Ekana Cricket Stadium</t>
  </si>
  <si>
    <t>Lucknow</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</si>
  <si>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</si>
  <si>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</si>
  <si>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</si>
  <si>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</si>
  <si>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</si>
  <si>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</si>
  <si>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</si>
  <si>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</si>
  <si>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</si>
  <si>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</si>
  <si>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</si>
  <si>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</si>
  <si>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</si>
  <si>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</si>
  <si>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</si>
  <si>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</si>
  <si>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</si>
  <si>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</si>
  <si>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</si>
  <si>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</si>
  <si>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</si>
  <si>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</si>
  <si>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</si>
  <si>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</si>
  <si>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</si>
  <si>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</si>
  <si>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</si>
  <si>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</si>
  <si>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</si>
  <si>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</si>
  <si>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</si>
  <si>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</si>
  <si>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</si>
  <si>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</si>
  <si>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</si>
  <si>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</si>
  <si>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</si>
  <si>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</si>
  <si>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</si>
  <si>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</si>
  <si>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</si>
  <si>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</si>
  <si>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</si>
  <si>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</si>
  <si>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</si>
  <si>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</si>
  <si>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</si>
  <si>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</si>
  <si>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</si>
  <si>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</si>
  <si>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</si>
  <si>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</si>
  <si>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</si>
  <si>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</si>
  <si>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</si>
  <si>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</si>
  <si>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</si>
  <si>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</si>
  <si>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</si>
  <si>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</si>
  <si>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</si>
  <si>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</si>
  <si>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</si>
  <si>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</si>
  <si>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</si>
  <si>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</si>
  <si>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</si>
  <si>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</si>
  <si>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</si>
  <si>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</si>
  <si>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</si>
  <si>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</si>
  <si>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</si>
  <si>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</si>
  <si>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</si>
  <si>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</si>
  <si>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</si>
  <si>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</si>
  <si>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</si>
  <si>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</si>
  <si>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</si>
  <si>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</si>
  <si>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</si>
  <si>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</si>
  <si>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</si>
  <si>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</si>
  <si>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</si>
  <si>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</si>
  <si>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</si>
  <si>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Row Labels</t>
  </si>
  <si>
    <t>(blank)</t>
  </si>
  <si>
    <t>Grand Total</t>
  </si>
  <si>
    <t>Count of Match_ID</t>
  </si>
  <si>
    <t>Sum of Total_Runs</t>
  </si>
  <si>
    <t>TotalWickets</t>
  </si>
  <si>
    <t>TeamWins</t>
  </si>
  <si>
    <t>fact_match[Match_ID]</t>
  </si>
  <si>
    <t>fact_match[Date]</t>
  </si>
  <si>
    <t>fact_match[Venue_ID]</t>
  </si>
  <si>
    <t>fact_match[Team1_ID]</t>
  </si>
  <si>
    <t>fact_match[Team2_ID]</t>
  </si>
  <si>
    <t>fact_match[Toss_Winner]</t>
  </si>
  <si>
    <t>fact_match[Match_Winner]</t>
  </si>
  <si>
    <t>fact_match[Man_of_Match]</t>
  </si>
  <si>
    <t>fact_match[Team1_Runs]</t>
  </si>
  <si>
    <t>fact_match[Team2_Runs]</t>
  </si>
  <si>
    <t>fact_match[Team1_Wickets]</t>
  </si>
  <si>
    <t>fact_match[Team2_Wickets]</t>
  </si>
  <si>
    <t>fact_match[Overs_Team1]</t>
  </si>
  <si>
    <t>fact_match[Overs_Team2]</t>
  </si>
  <si>
    <t>fact_match[Total_Runs]</t>
  </si>
  <si>
    <t>fact_match[Win_Margin]</t>
  </si>
  <si>
    <t>fact_match[Win_Type]</t>
  </si>
  <si>
    <t>fact_match[Team1_Name]</t>
  </si>
  <si>
    <t>fact_match[Venue_Name]</t>
  </si>
  <si>
    <t>fact_match[Home_Team]</t>
  </si>
  <si>
    <t>fact_match[IS_HOME_WINNER]</t>
  </si>
  <si>
    <t>Win by runs</t>
  </si>
  <si>
    <t>YES</t>
  </si>
  <si>
    <t>Win by wicket</t>
  </si>
  <si>
    <t>Data returned for TeamWins, Chennai Super Kings (CSK) (First 1000 rows).</t>
  </si>
  <si>
    <t>Player|Team|Role Names</t>
  </si>
  <si>
    <t>Total Runs</t>
  </si>
  <si>
    <t>Balls Faced</t>
  </si>
  <si>
    <t>Total Wickets</t>
  </si>
  <si>
    <t xml:space="preserve"> Economy</t>
  </si>
  <si>
    <t>Team Names</t>
  </si>
  <si>
    <t>Count of Team_ID</t>
  </si>
  <si>
    <t>All</t>
  </si>
  <si>
    <t>Data returned for Count of Match_ID, All (First 1000 rows).</t>
  </si>
  <si>
    <t>Data returned for Count of Match_ID, [fact_match].[Venue_Name].[All] (First 1000 rows).</t>
  </si>
  <si>
    <t>TOTAL MATCHES</t>
  </si>
  <si>
    <t>TOTAL TEAMS</t>
  </si>
  <si>
    <t>TOTAL RUNS</t>
  </si>
  <si>
    <t>TOTAL WICKETS</t>
  </si>
  <si>
    <t>PlayerRuns</t>
  </si>
  <si>
    <t>Player Names</t>
  </si>
  <si>
    <t>PlayerWickets</t>
  </si>
  <si>
    <t>Avgstrikearte</t>
  </si>
  <si>
    <t>Sum of Strike_Rate</t>
  </si>
  <si>
    <t>Sum of Economy</t>
  </si>
  <si>
    <t>Avg strike rate</t>
  </si>
  <si>
    <t>Avg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</si>
</sst>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8"/>
      <color theme="1"/>
      <name val="Aptos Narrow"/>
      <family val="2"/>
      <scheme val="minor"/>
    </font>
    <font>
      <sz val="20"/>
      <color theme="1"/>
      <name val="Aptos Narrow"/>
      <family val="2"/>
      <scheme val="minor"/>
    </font>
    <font>
      <sz val="24"/>
      <color theme="1"/>
      <name val="Aptos Narrow"/>
      <family val="2"/>
      <scheme val="minor"/>
    </font>
  </fonts>
  <fills count="3">
    <fill>
      <patternFill patternType="none"/>
    </fill>
    <fill>
      <patternFill patternType="gray125"/>
    </fill>
    <fill>
      <patternFill patternType="solid">
        <fgColor rgb="FFFDDBDE"/>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0" fillId="0" borderId="0" xfId="0" applyAlignment="1">
      <alignment horizontal="left" indent="1"/>
    </xf>
    <xf numFmtId="0" fontId="0" fillId="0" borderId="0" xfId="0" applyAlignment="1">
      <alignment horizontal="left" indent="2"/>
    </xf>
    <xf numFmtId="0" fontId="0" fillId="2" borderId="0" xfId="0" applyFill="1"/>
    <xf numFmtId="0" fontId="0" fillId="2" borderId="0" xfId="0" applyFill="1" applyAlignment="1">
      <alignment horizontal="center"/>
    </xf>
    <xf numFmtId="0" fontId="0" fillId="2" borderId="0" xfId="0" applyFill="1" applyAlignment="1">
      <alignment horizontal="center" vertical="center"/>
    </xf>
    <xf numFmtId="4" fontId="0" fillId="0" borderId="0" xfId="0" applyNumberFormat="1"/>
    <xf numFmtId="0" fontId="3"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0" fillId="0" borderId="0" xfId="0" applyNumberFormat="1"/>
  </cellXfs>
  <cellStyles count="1">
    <cellStyle name="Normal" xfId="0" builtinId="0"/>
  </cellStyles>
  <dxfs count="30">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DDBDE"/>
      <color rgb="FFFAA0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8.xml"/><Relationship Id="rId34" Type="http://schemas.microsoft.com/office/2017/10/relationships/person" Target="persons/person.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sheetMetadata" Target="metadata.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owerPivotData" Target="model/item.data"/><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7.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theme" Target="theme/them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9.xml"/><Relationship Id="rId52"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PROJECT.xlsx]Team_summary!PivotTable4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Team_summary!$B$16</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Team_summary!$A$17:$A$19</c:f>
              <c:strCache>
                <c:ptCount val="2"/>
                <c:pt idx="0">
                  <c:v>Kolkata Knight Riders (KKR)</c:v>
                </c:pt>
                <c:pt idx="1">
                  <c:v>(blank)</c:v>
                </c:pt>
              </c:strCache>
            </c:strRef>
          </c:cat>
          <c:val>
            <c:numRef>
              <c:f>Team_summary!$B$17:$B$19</c:f>
              <c:numCache>
                <c:formatCode>0</c:formatCode>
                <c:ptCount val="2"/>
                <c:pt idx="0">
                  <c:v>4</c:v>
                </c:pt>
                <c:pt idx="1">
                  <c:v>0</c:v>
                </c:pt>
              </c:numCache>
            </c:numRef>
          </c:val>
          <c:extLst>
            <c:ext xmlns:c16="http://schemas.microsoft.com/office/drawing/2014/chart" uri="{C3380CC4-5D6E-409C-BE32-E72D297353CC}">
              <c16:uniqueId val="{00000000-1E02-49D8-87ED-88764830AE59}"/>
            </c:ext>
          </c:extLst>
        </c:ser>
        <c:dLbls>
          <c:showLegendKey val="0"/>
          <c:showVal val="1"/>
          <c:showCatName val="0"/>
          <c:showSerName val="0"/>
          <c:showPercent val="0"/>
          <c:showBubbleSize val="0"/>
        </c:dLbls>
        <c:gapWidth val="150"/>
        <c:shape val="box"/>
        <c:axId val="1451302015"/>
        <c:axId val="1451302975"/>
        <c:axId val="0"/>
      </c:bar3DChart>
      <c:catAx>
        <c:axId val="1451302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2975"/>
        <c:crosses val="autoZero"/>
        <c:auto val="1"/>
        <c:lblAlgn val="ctr"/>
        <c:lblOffset val="100"/>
        <c:noMultiLvlLbl val="0"/>
      </c:catAx>
      <c:valAx>
        <c:axId val="1451302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DASHBOARD PROJECT.xlsx]Team_summary!PivotTable5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15879265091864"/>
          <c:y val="0.24476633129192185"/>
          <c:w val="0.76349759405074369"/>
          <c:h val="0.29571595217264507"/>
        </c:manualLayout>
      </c:layout>
      <c:bar3DChart>
        <c:barDir val="col"/>
        <c:grouping val="clustered"/>
        <c:varyColors val="0"/>
        <c:ser>
          <c:idx val="0"/>
          <c:order val="0"/>
          <c:tx>
            <c:strRef>
              <c:f>Team_summary!$L$3</c:f>
              <c:strCache>
                <c:ptCount val="1"/>
                <c:pt idx="0">
                  <c:v>Total</c:v>
                </c:pt>
              </c:strCache>
            </c:strRef>
          </c:tx>
          <c:spPr>
            <a:solidFill>
              <a:schemeClr val="accent2"/>
            </a:solidFill>
            <a:ln>
              <a:noFill/>
            </a:ln>
            <a:effectLst/>
            <a:sp3d/>
          </c:spPr>
          <c:invertIfNegative val="0"/>
          <c:cat>
            <c:strRef>
              <c:f>Team_summary!$K$4:$K$5</c:f>
              <c:strCache>
                <c:ptCount val="1"/>
                <c:pt idx="0">
                  <c:v>Kolkata Knight Riders (KKR)</c:v>
                </c:pt>
              </c:strCache>
            </c:strRef>
          </c:cat>
          <c:val>
            <c:numRef>
              <c:f>Team_summary!$L$4:$L$5</c:f>
              <c:numCache>
                <c:formatCode>General</c:formatCode>
                <c:ptCount val="1"/>
                <c:pt idx="0">
                  <c:v>2788</c:v>
                </c:pt>
              </c:numCache>
            </c:numRef>
          </c:val>
          <c:extLst>
            <c:ext xmlns:c16="http://schemas.microsoft.com/office/drawing/2014/chart" uri="{C3380CC4-5D6E-409C-BE32-E72D297353CC}">
              <c16:uniqueId val="{00000000-F737-45AA-A7AA-8B5416C5B63A}"/>
            </c:ext>
          </c:extLst>
        </c:ser>
        <c:dLbls>
          <c:showLegendKey val="0"/>
          <c:showVal val="0"/>
          <c:showCatName val="0"/>
          <c:showSerName val="0"/>
          <c:showPercent val="0"/>
          <c:showBubbleSize val="0"/>
        </c:dLbls>
        <c:gapWidth val="150"/>
        <c:shape val="box"/>
        <c:axId val="1762124463"/>
        <c:axId val="1762124943"/>
        <c:axId val="0"/>
      </c:bar3DChart>
      <c:catAx>
        <c:axId val="176212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124943"/>
        <c:crosses val="autoZero"/>
        <c:auto val="1"/>
        <c:lblAlgn val="ctr"/>
        <c:lblOffset val="100"/>
        <c:noMultiLvlLbl val="0"/>
      </c:catAx>
      <c:valAx>
        <c:axId val="176212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12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DASHBOARD PROJECT.xlsx]Team_summary!PivotTable6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25400">
            <a:solidFill>
              <a:schemeClr val="lt1"/>
            </a:solidFill>
          </a:ln>
          <a:effectLst/>
          <a:sp3d contourW="25400">
            <a:contourClr>
              <a:schemeClr val="lt1"/>
            </a:contourClr>
          </a:sp3d>
        </c:spPr>
      </c:pivotFmt>
      <c:pivotFmt>
        <c:idx val="2"/>
        <c:spPr>
          <a:solidFill>
            <a:schemeClr val="accent2">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Team_summary!$O$3</c:f>
              <c:strCache>
                <c:ptCount val="1"/>
                <c:pt idx="0">
                  <c:v>Total</c:v>
                </c:pt>
              </c:strCache>
            </c:strRef>
          </c:tx>
          <c:dPt>
            <c:idx val="0"/>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852-4F6B-A2F0-E35CBEEE29C9}"/>
              </c:ext>
            </c:extLst>
          </c:dPt>
          <c:dPt>
            <c:idx val="1"/>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852-4F6B-A2F0-E35CBEEE29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Team_summary!$N$4:$N$6</c:f>
              <c:strCache>
                <c:ptCount val="2"/>
                <c:pt idx="0">
                  <c:v>Win by runs</c:v>
                </c:pt>
                <c:pt idx="1">
                  <c:v>Win by wicket</c:v>
                </c:pt>
              </c:strCache>
            </c:strRef>
          </c:cat>
          <c:val>
            <c:numRef>
              <c:f>Team_summary!$O$4:$O$6</c:f>
              <c:numCache>
                <c:formatCode>General</c:formatCode>
                <c:ptCount val="2"/>
                <c:pt idx="0">
                  <c:v>1480</c:v>
                </c:pt>
                <c:pt idx="1">
                  <c:v>1308</c:v>
                </c:pt>
              </c:numCache>
            </c:numRef>
          </c:val>
          <c:extLst>
            <c:ext xmlns:c16="http://schemas.microsoft.com/office/drawing/2014/chart" uri="{C3380CC4-5D6E-409C-BE32-E72D297353CC}">
              <c16:uniqueId val="{00000004-C5EA-40BD-8956-1833EAAA993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DASHBOARD PROJECT.xlsx]Team_summary!PivotTable1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Team_summary!$B$27</c:f>
              <c:strCache>
                <c:ptCount val="1"/>
                <c:pt idx="0">
                  <c:v>Total</c:v>
                </c:pt>
              </c:strCache>
            </c:strRef>
          </c:tx>
          <c:spPr>
            <a:solidFill>
              <a:schemeClr val="accent5"/>
            </a:solidFill>
            <a:ln>
              <a:noFill/>
            </a:ln>
            <a:effectLst/>
          </c:spPr>
          <c:invertIfNegative val="0"/>
          <c:cat>
            <c:strRef>
              <c:f>Team_summary!$A$28:$A$29</c:f>
              <c:strCache>
                <c:ptCount val="1"/>
                <c:pt idx="0">
                  <c:v>Eden Gardens</c:v>
                </c:pt>
              </c:strCache>
            </c:strRef>
          </c:cat>
          <c:val>
            <c:numRef>
              <c:f>Team_summary!$B$28:$B$29</c:f>
              <c:numCache>
                <c:formatCode>General</c:formatCode>
                <c:ptCount val="1"/>
                <c:pt idx="0">
                  <c:v>8</c:v>
                </c:pt>
              </c:numCache>
            </c:numRef>
          </c:val>
          <c:extLst>
            <c:ext xmlns:c16="http://schemas.microsoft.com/office/drawing/2014/chart" uri="{C3380CC4-5D6E-409C-BE32-E72D297353CC}">
              <c16:uniqueId val="{00000000-C1A6-476C-A0A2-DF8387265AB9}"/>
            </c:ext>
          </c:extLst>
        </c:ser>
        <c:dLbls>
          <c:showLegendKey val="0"/>
          <c:showVal val="0"/>
          <c:showCatName val="0"/>
          <c:showSerName val="0"/>
          <c:showPercent val="0"/>
          <c:showBubbleSize val="0"/>
        </c:dLbls>
        <c:gapWidth val="150"/>
        <c:overlap val="100"/>
        <c:axId val="1542760767"/>
        <c:axId val="1542744927"/>
      </c:barChart>
      <c:catAx>
        <c:axId val="154276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44927"/>
        <c:crosses val="autoZero"/>
        <c:auto val="1"/>
        <c:lblAlgn val="ctr"/>
        <c:lblOffset val="100"/>
        <c:noMultiLvlLbl val="0"/>
      </c:catAx>
      <c:valAx>
        <c:axId val="15427449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6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a:t>
            </a:r>
            <a:r>
              <a:rPr lang="en-US"/>
              <a:t>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Player_Summary!$I$4:$I$15</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Player_Summary!$J$4:$J$15</c:f>
              <c:numCache>
                <c:formatCode>0</c:formatCode>
                <c:ptCount val="11"/>
                <c:pt idx="0">
                  <c:v>130</c:v>
                </c:pt>
                <c:pt idx="1">
                  <c:v>124</c:v>
                </c:pt>
                <c:pt idx="2">
                  <c:v>0</c:v>
                </c:pt>
                <c:pt idx="3">
                  <c:v>55</c:v>
                </c:pt>
                <c:pt idx="4">
                  <c:v>56</c:v>
                </c:pt>
                <c:pt idx="5">
                  <c:v>0</c:v>
                </c:pt>
                <c:pt idx="6">
                  <c:v>147</c:v>
                </c:pt>
                <c:pt idx="7">
                  <c:v>15</c:v>
                </c:pt>
                <c:pt idx="8">
                  <c:v>0</c:v>
                </c:pt>
                <c:pt idx="9">
                  <c:v>40</c:v>
                </c:pt>
                <c:pt idx="10">
                  <c:v>0</c:v>
                </c:pt>
              </c:numCache>
            </c:numRef>
          </c:val>
          <c:smooth val="0"/>
          <c:extLst>
            <c:ext xmlns:c16="http://schemas.microsoft.com/office/drawing/2014/chart" uri="{C3380CC4-5D6E-409C-BE32-E72D297353CC}">
              <c16:uniqueId val="{00000000-9E1B-44DF-B9A2-E7896DDAB4AF}"/>
            </c:ext>
          </c:extLst>
        </c:ser>
        <c:dLbls>
          <c:dLblPos val="t"/>
          <c:showLegendKey val="0"/>
          <c:showVal val="1"/>
          <c:showCatName val="0"/>
          <c:showSerName val="0"/>
          <c:showPercent val="0"/>
          <c:showBubbleSize val="0"/>
        </c:dLbls>
        <c:marker val="1"/>
        <c:smooth val="0"/>
        <c:axId val="481938736"/>
        <c:axId val="481929136"/>
      </c:lineChart>
      <c:catAx>
        <c:axId val="48193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29136"/>
        <c:crosses val="autoZero"/>
        <c:auto val="1"/>
        <c:lblAlgn val="ctr"/>
        <c:lblOffset val="100"/>
        <c:noMultiLvlLbl val="0"/>
      </c:catAx>
      <c:valAx>
        <c:axId val="481929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3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Total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Player_Summary!$B$39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Player_Summary!$A$40:$A$51</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Player_Summary!$B$40:$B$51</c:f>
              <c:numCache>
                <c:formatCode>0</c:formatCode>
                <c:ptCount val="11"/>
                <c:pt idx="0">
                  <c:v>0</c:v>
                </c:pt>
                <c:pt idx="1">
                  <c:v>4</c:v>
                </c:pt>
                <c:pt idx="2">
                  <c:v>2</c:v>
                </c:pt>
                <c:pt idx="3">
                  <c:v>0</c:v>
                </c:pt>
                <c:pt idx="4">
                  <c:v>0</c:v>
                </c:pt>
                <c:pt idx="5">
                  <c:v>3</c:v>
                </c:pt>
                <c:pt idx="6">
                  <c:v>0</c:v>
                </c:pt>
                <c:pt idx="7">
                  <c:v>1</c:v>
                </c:pt>
                <c:pt idx="8">
                  <c:v>4</c:v>
                </c:pt>
                <c:pt idx="9">
                  <c:v>0</c:v>
                </c:pt>
                <c:pt idx="10">
                  <c:v>1</c:v>
                </c:pt>
              </c:numCache>
            </c:numRef>
          </c:val>
          <c:smooth val="0"/>
          <c:extLst>
            <c:ext xmlns:c16="http://schemas.microsoft.com/office/drawing/2014/chart" uri="{C3380CC4-5D6E-409C-BE32-E72D297353CC}">
              <c16:uniqueId val="{00000000-E933-49B4-8C71-80C1FCB46CB5}"/>
            </c:ext>
          </c:extLst>
        </c:ser>
        <c:dLbls>
          <c:dLblPos val="t"/>
          <c:showLegendKey val="0"/>
          <c:showVal val="1"/>
          <c:showCatName val="0"/>
          <c:showSerName val="0"/>
          <c:showPercent val="0"/>
          <c:showBubbleSize val="0"/>
        </c:dLbls>
        <c:marker val="1"/>
        <c:smooth val="0"/>
        <c:axId val="1602086560"/>
        <c:axId val="1602087520"/>
      </c:lineChart>
      <c:catAx>
        <c:axId val="160208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87520"/>
        <c:crosses val="autoZero"/>
        <c:auto val="1"/>
        <c:lblAlgn val="ctr"/>
        <c:lblOffset val="100"/>
        <c:noMultiLvlLbl val="0"/>
      </c:catAx>
      <c:valAx>
        <c:axId val="1602087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8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Economy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Player_Summary!$B$110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FD-43A1-9DE1-8D8F4258EB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FD-43A1-9DE1-8D8F4258EB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FD-43A1-9DE1-8D8F4258EB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FD-43A1-9DE1-8D8F4258EB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FD-43A1-9DE1-8D8F4258EB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FD-43A1-9DE1-8D8F4258EB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6FD-43A1-9DE1-8D8F4258EB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6FD-43A1-9DE1-8D8F4258EB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6FD-43A1-9DE1-8D8F4258EB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6FD-43A1-9DE1-8D8F4258EB6F}"/>
              </c:ext>
            </c:extLst>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Player_Summary!$A$111:$A$122</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Player_Summary!$B$111:$B$122</c:f>
              <c:numCache>
                <c:formatCode>General</c:formatCode>
                <c:ptCount val="11"/>
                <c:pt idx="0">
                  <c:v>0</c:v>
                </c:pt>
                <c:pt idx="1">
                  <c:v>18.25</c:v>
                </c:pt>
                <c:pt idx="2">
                  <c:v>7.5</c:v>
                </c:pt>
                <c:pt idx="3">
                  <c:v>0</c:v>
                </c:pt>
                <c:pt idx="4">
                  <c:v>0</c:v>
                </c:pt>
                <c:pt idx="5">
                  <c:v>5.25</c:v>
                </c:pt>
                <c:pt idx="6">
                  <c:v>0</c:v>
                </c:pt>
                <c:pt idx="7">
                  <c:v>6.25</c:v>
                </c:pt>
                <c:pt idx="8">
                  <c:v>5.43</c:v>
                </c:pt>
                <c:pt idx="9">
                  <c:v>0</c:v>
                </c:pt>
                <c:pt idx="10">
                  <c:v>10</c:v>
                </c:pt>
              </c:numCache>
            </c:numRef>
          </c:val>
          <c:extLst>
            <c:ext xmlns:c16="http://schemas.microsoft.com/office/drawing/2014/chart" uri="{C3380CC4-5D6E-409C-BE32-E72D297353CC}">
              <c16:uniqueId val="{00000000-F076-4CA9-B81A-5F4C6968D6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Player_Summary!$B$75</c:f>
              <c:strCache>
                <c:ptCount val="1"/>
                <c:pt idx="0">
                  <c:v>Avgstrikearte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Player_Summary!$A$76:$A$87</c:f>
              <c:strCache>
                <c:ptCount val="11"/>
                <c:pt idx="0">
                  <c:v>Virat Kohli</c:v>
                </c:pt>
                <c:pt idx="1">
                  <c:v>Rinku Singh</c:v>
                </c:pt>
                <c:pt idx="2">
                  <c:v>Abhishek Sharma</c:v>
                </c:pt>
                <c:pt idx="3">
                  <c:v>Andre Russell</c:v>
                </c:pt>
                <c:pt idx="4">
                  <c:v>Arshdeep Singh</c:v>
                </c:pt>
                <c:pt idx="5">
                  <c:v>David Warner</c:v>
                </c:pt>
                <c:pt idx="6">
                  <c:v>Heinrich Klaasen</c:v>
                </c:pt>
                <c:pt idx="7">
                  <c:v>Matheesha Pathirana</c:v>
                </c:pt>
                <c:pt idx="8">
                  <c:v>Sunil Narine</c:v>
                </c:pt>
                <c:pt idx="9">
                  <c:v>Varun Chakravarthy</c:v>
                </c:pt>
                <c:pt idx="10">
                  <c:v>Yuzvendra Chahal</c:v>
                </c:pt>
              </c:strCache>
            </c:strRef>
          </c:cat>
          <c:val>
            <c:numRef>
              <c:f>Player_Summary!$B$76:$B$87</c:f>
              <c:numCache>
                <c:formatCode>#,##0.00</c:formatCode>
                <c:ptCount val="11"/>
                <c:pt idx="0">
                  <c:v>133.33000000000001</c:v>
                </c:pt>
                <c:pt idx="1">
                  <c:v>139.17500000000001</c:v>
                </c:pt>
                <c:pt idx="2">
                  <c:v>162.5</c:v>
                </c:pt>
                <c:pt idx="3">
                  <c:v>188.19499999999999</c:v>
                </c:pt>
                <c:pt idx="4">
                  <c:v>0</c:v>
                </c:pt>
                <c:pt idx="5">
                  <c:v>157.13999999999999</c:v>
                </c:pt>
                <c:pt idx="6">
                  <c:v>200</c:v>
                </c:pt>
                <c:pt idx="7">
                  <c:v>0</c:v>
                </c:pt>
                <c:pt idx="8">
                  <c:v>150</c:v>
                </c:pt>
                <c:pt idx="9">
                  <c:v>0</c:v>
                </c:pt>
                <c:pt idx="10">
                  <c:v>0</c:v>
                </c:pt>
              </c:numCache>
            </c:numRef>
          </c:val>
          <c:extLst>
            <c:ext xmlns:c16="http://schemas.microsoft.com/office/drawing/2014/chart" uri="{C3380CC4-5D6E-409C-BE32-E72D297353CC}">
              <c16:uniqueId val="{00000000-D1FA-44DE-A518-CC80EE3E54C8}"/>
            </c:ext>
          </c:extLst>
        </c:ser>
        <c:dLbls>
          <c:showLegendKey val="0"/>
          <c:showVal val="1"/>
          <c:showCatName val="0"/>
          <c:showSerName val="0"/>
          <c:showPercent val="0"/>
          <c:showBubbleSize val="0"/>
        </c:dLbls>
        <c:gapWidth val="219"/>
        <c:overlap val="-27"/>
        <c:axId val="1383933200"/>
        <c:axId val="1383927920"/>
      </c:barChart>
      <c:lineChart>
        <c:grouping val="standard"/>
        <c:varyColors val="0"/>
        <c:ser>
          <c:idx val="1"/>
          <c:order val="1"/>
          <c:tx>
            <c:strRef>
              <c:f>Player_Summary!$C$75</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Player_Summary!$A$76:$A$87</c:f>
              <c:strCache>
                <c:ptCount val="11"/>
                <c:pt idx="0">
                  <c:v>Virat Kohli</c:v>
                </c:pt>
                <c:pt idx="1">
                  <c:v>Rinku Singh</c:v>
                </c:pt>
                <c:pt idx="2">
                  <c:v>Abhishek Sharma</c:v>
                </c:pt>
                <c:pt idx="3">
                  <c:v>Andre Russell</c:v>
                </c:pt>
                <c:pt idx="4">
                  <c:v>Arshdeep Singh</c:v>
                </c:pt>
                <c:pt idx="5">
                  <c:v>David Warner</c:v>
                </c:pt>
                <c:pt idx="6">
                  <c:v>Heinrich Klaasen</c:v>
                </c:pt>
                <c:pt idx="7">
                  <c:v>Matheesha Pathirana</c:v>
                </c:pt>
                <c:pt idx="8">
                  <c:v>Sunil Narine</c:v>
                </c:pt>
                <c:pt idx="9">
                  <c:v>Varun Chakravarthy</c:v>
                </c:pt>
                <c:pt idx="10">
                  <c:v>Yuzvendra Chahal</c:v>
                </c:pt>
              </c:strCache>
            </c:strRef>
          </c:cat>
          <c:val>
            <c:numRef>
              <c:f>Player_Summary!$C$76:$C$87</c:f>
              <c:numCache>
                <c:formatCode>General</c:formatCode>
                <c:ptCount val="11"/>
                <c:pt idx="0">
                  <c:v>133.33000000000001</c:v>
                </c:pt>
                <c:pt idx="1">
                  <c:v>556.70000000000005</c:v>
                </c:pt>
                <c:pt idx="2">
                  <c:v>325</c:v>
                </c:pt>
                <c:pt idx="3">
                  <c:v>376.39</c:v>
                </c:pt>
                <c:pt idx="4">
                  <c:v>0</c:v>
                </c:pt>
                <c:pt idx="5">
                  <c:v>157.13999999999999</c:v>
                </c:pt>
                <c:pt idx="6">
                  <c:v>200</c:v>
                </c:pt>
                <c:pt idx="7">
                  <c:v>0</c:v>
                </c:pt>
                <c:pt idx="8">
                  <c:v>150</c:v>
                </c:pt>
                <c:pt idx="9">
                  <c:v>0</c:v>
                </c:pt>
                <c:pt idx="10">
                  <c:v>0</c:v>
                </c:pt>
              </c:numCache>
            </c:numRef>
          </c:val>
          <c:smooth val="0"/>
          <c:extLst>
            <c:ext xmlns:c16="http://schemas.microsoft.com/office/drawing/2014/chart" uri="{C3380CC4-5D6E-409C-BE32-E72D297353CC}">
              <c16:uniqueId val="{00000001-D1FA-44DE-A518-CC80EE3E54C8}"/>
            </c:ext>
          </c:extLst>
        </c:ser>
        <c:dLbls>
          <c:showLegendKey val="0"/>
          <c:showVal val="1"/>
          <c:showCatName val="0"/>
          <c:showSerName val="0"/>
          <c:showPercent val="0"/>
          <c:showBubbleSize val="0"/>
        </c:dLbls>
        <c:marker val="1"/>
        <c:smooth val="0"/>
        <c:axId val="1383943280"/>
        <c:axId val="1383926480"/>
      </c:lineChart>
      <c:catAx>
        <c:axId val="138393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27920"/>
        <c:crosses val="autoZero"/>
        <c:auto val="1"/>
        <c:lblAlgn val="ctr"/>
        <c:lblOffset val="100"/>
        <c:noMultiLvlLbl val="0"/>
      </c:catAx>
      <c:valAx>
        <c:axId val="138392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33200"/>
        <c:crosses val="autoZero"/>
        <c:crossBetween val="between"/>
      </c:valAx>
      <c:valAx>
        <c:axId val="1383926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43280"/>
        <c:crosses val="max"/>
        <c:crossBetween val="between"/>
      </c:valAx>
      <c:catAx>
        <c:axId val="1383943280"/>
        <c:scaling>
          <c:orientation val="minMax"/>
        </c:scaling>
        <c:delete val="1"/>
        <c:axPos val="b"/>
        <c:numFmt formatCode="General" sourceLinked="1"/>
        <c:majorTickMark val="out"/>
        <c:minorTickMark val="none"/>
        <c:tickLblPos val="nextTo"/>
        <c:crossAx val="13839264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a:t>
            </a:r>
            <a:r>
              <a:rPr lang="en-US"/>
              <a:t>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Player_Summary!$I$4:$I$15</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Player_Summary!$J$4:$J$15</c:f>
              <c:numCache>
                <c:formatCode>0</c:formatCode>
                <c:ptCount val="11"/>
                <c:pt idx="0">
                  <c:v>130</c:v>
                </c:pt>
                <c:pt idx="1">
                  <c:v>124</c:v>
                </c:pt>
                <c:pt idx="2">
                  <c:v>0</c:v>
                </c:pt>
                <c:pt idx="3">
                  <c:v>55</c:v>
                </c:pt>
                <c:pt idx="4">
                  <c:v>56</c:v>
                </c:pt>
                <c:pt idx="5">
                  <c:v>0</c:v>
                </c:pt>
                <c:pt idx="6">
                  <c:v>147</c:v>
                </c:pt>
                <c:pt idx="7">
                  <c:v>15</c:v>
                </c:pt>
                <c:pt idx="8">
                  <c:v>0</c:v>
                </c:pt>
                <c:pt idx="9">
                  <c:v>40</c:v>
                </c:pt>
                <c:pt idx="10">
                  <c:v>0</c:v>
                </c:pt>
              </c:numCache>
            </c:numRef>
          </c:val>
          <c:smooth val="0"/>
          <c:extLst>
            <c:ext xmlns:c16="http://schemas.microsoft.com/office/drawing/2014/chart" uri="{C3380CC4-5D6E-409C-BE32-E72D297353CC}">
              <c16:uniqueId val="{00000000-9E1B-44DF-B9A2-E7896DDAB4AF}"/>
            </c:ext>
          </c:extLst>
        </c:ser>
        <c:dLbls>
          <c:dLblPos val="t"/>
          <c:showLegendKey val="0"/>
          <c:showVal val="1"/>
          <c:showCatName val="0"/>
          <c:showSerName val="0"/>
          <c:showPercent val="0"/>
          <c:showBubbleSize val="0"/>
        </c:dLbls>
        <c:marker val="1"/>
        <c:smooth val="0"/>
        <c:axId val="481938736"/>
        <c:axId val="481929136"/>
      </c:lineChart>
      <c:catAx>
        <c:axId val="48193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29136"/>
        <c:crosses val="autoZero"/>
        <c:auto val="1"/>
        <c:lblAlgn val="ctr"/>
        <c:lblOffset val="100"/>
        <c:noMultiLvlLbl val="0"/>
      </c:catAx>
      <c:valAx>
        <c:axId val="481929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3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Total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Player_Summary!$B$39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Player_Summary!$A$40:$A$51</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Player_Summary!$B$40:$B$51</c:f>
              <c:numCache>
                <c:formatCode>0</c:formatCode>
                <c:ptCount val="11"/>
                <c:pt idx="0">
                  <c:v>0</c:v>
                </c:pt>
                <c:pt idx="1">
                  <c:v>4</c:v>
                </c:pt>
                <c:pt idx="2">
                  <c:v>2</c:v>
                </c:pt>
                <c:pt idx="3">
                  <c:v>0</c:v>
                </c:pt>
                <c:pt idx="4">
                  <c:v>0</c:v>
                </c:pt>
                <c:pt idx="5">
                  <c:v>3</c:v>
                </c:pt>
                <c:pt idx="6">
                  <c:v>0</c:v>
                </c:pt>
                <c:pt idx="7">
                  <c:v>1</c:v>
                </c:pt>
                <c:pt idx="8">
                  <c:v>4</c:v>
                </c:pt>
                <c:pt idx="9">
                  <c:v>0</c:v>
                </c:pt>
                <c:pt idx="10">
                  <c:v>1</c:v>
                </c:pt>
              </c:numCache>
            </c:numRef>
          </c:val>
          <c:smooth val="0"/>
          <c:extLst>
            <c:ext xmlns:c16="http://schemas.microsoft.com/office/drawing/2014/chart" uri="{C3380CC4-5D6E-409C-BE32-E72D297353CC}">
              <c16:uniqueId val="{00000000-895C-401D-BAFC-48CE2478D9E9}"/>
            </c:ext>
          </c:extLst>
        </c:ser>
        <c:dLbls>
          <c:dLblPos val="t"/>
          <c:showLegendKey val="0"/>
          <c:showVal val="1"/>
          <c:showCatName val="0"/>
          <c:showSerName val="0"/>
          <c:showPercent val="0"/>
          <c:showBubbleSize val="0"/>
        </c:dLbls>
        <c:marker val="1"/>
        <c:smooth val="0"/>
        <c:axId val="1602086560"/>
        <c:axId val="1602087520"/>
      </c:lineChart>
      <c:catAx>
        <c:axId val="160208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87520"/>
        <c:crosses val="autoZero"/>
        <c:auto val="1"/>
        <c:lblAlgn val="ctr"/>
        <c:lblOffset val="100"/>
        <c:noMultiLvlLbl val="0"/>
      </c:catAx>
      <c:valAx>
        <c:axId val="1602087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8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75728259818811E-2"/>
          <c:y val="2.6229797922824118E-2"/>
          <c:w val="0.78941476564908186"/>
          <c:h val="0.55027713226391117"/>
        </c:manualLayout>
      </c:layout>
      <c:barChart>
        <c:barDir val="col"/>
        <c:grouping val="clustered"/>
        <c:varyColors val="0"/>
        <c:ser>
          <c:idx val="0"/>
          <c:order val="0"/>
          <c:tx>
            <c:strRef>
              <c:f>Player_Summary!$B$75</c:f>
              <c:strCache>
                <c:ptCount val="1"/>
                <c:pt idx="0">
                  <c:v>Avgstrikearte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Player_Summary!$A$76:$A$87</c:f>
              <c:strCache>
                <c:ptCount val="11"/>
                <c:pt idx="0">
                  <c:v>Virat Kohli</c:v>
                </c:pt>
                <c:pt idx="1">
                  <c:v>Rinku Singh</c:v>
                </c:pt>
                <c:pt idx="2">
                  <c:v>Abhishek Sharma</c:v>
                </c:pt>
                <c:pt idx="3">
                  <c:v>Andre Russell</c:v>
                </c:pt>
                <c:pt idx="4">
                  <c:v>Arshdeep Singh</c:v>
                </c:pt>
                <c:pt idx="5">
                  <c:v>David Warner</c:v>
                </c:pt>
                <c:pt idx="6">
                  <c:v>Heinrich Klaasen</c:v>
                </c:pt>
                <c:pt idx="7">
                  <c:v>Matheesha Pathirana</c:v>
                </c:pt>
                <c:pt idx="8">
                  <c:v>Sunil Narine</c:v>
                </c:pt>
                <c:pt idx="9">
                  <c:v>Varun Chakravarthy</c:v>
                </c:pt>
                <c:pt idx="10">
                  <c:v>Yuzvendra Chahal</c:v>
                </c:pt>
              </c:strCache>
            </c:strRef>
          </c:cat>
          <c:val>
            <c:numRef>
              <c:f>Player_Summary!$B$76:$B$87</c:f>
              <c:numCache>
                <c:formatCode>#,##0.00</c:formatCode>
                <c:ptCount val="11"/>
                <c:pt idx="0">
                  <c:v>133.33000000000001</c:v>
                </c:pt>
                <c:pt idx="1">
                  <c:v>139.17500000000001</c:v>
                </c:pt>
                <c:pt idx="2">
                  <c:v>162.5</c:v>
                </c:pt>
                <c:pt idx="3">
                  <c:v>188.19499999999999</c:v>
                </c:pt>
                <c:pt idx="4">
                  <c:v>0</c:v>
                </c:pt>
                <c:pt idx="5">
                  <c:v>157.13999999999999</c:v>
                </c:pt>
                <c:pt idx="6">
                  <c:v>200</c:v>
                </c:pt>
                <c:pt idx="7">
                  <c:v>0</c:v>
                </c:pt>
                <c:pt idx="8">
                  <c:v>150</c:v>
                </c:pt>
                <c:pt idx="9">
                  <c:v>0</c:v>
                </c:pt>
                <c:pt idx="10">
                  <c:v>0</c:v>
                </c:pt>
              </c:numCache>
            </c:numRef>
          </c:val>
          <c:extLst>
            <c:ext xmlns:c16="http://schemas.microsoft.com/office/drawing/2014/chart" uri="{C3380CC4-5D6E-409C-BE32-E72D297353CC}">
              <c16:uniqueId val="{00000000-B38B-4EB9-ABD6-304E14EC637F}"/>
            </c:ext>
          </c:extLst>
        </c:ser>
        <c:dLbls>
          <c:showLegendKey val="0"/>
          <c:showVal val="1"/>
          <c:showCatName val="0"/>
          <c:showSerName val="0"/>
          <c:showPercent val="0"/>
          <c:showBubbleSize val="0"/>
        </c:dLbls>
        <c:gapWidth val="219"/>
        <c:overlap val="-27"/>
        <c:axId val="1383933200"/>
        <c:axId val="1383927920"/>
      </c:barChart>
      <c:lineChart>
        <c:grouping val="standard"/>
        <c:varyColors val="0"/>
        <c:ser>
          <c:idx val="1"/>
          <c:order val="1"/>
          <c:tx>
            <c:strRef>
              <c:f>Player_Summary!$C$75</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Player_Summary!$A$76:$A$87</c:f>
              <c:strCache>
                <c:ptCount val="11"/>
                <c:pt idx="0">
                  <c:v>Virat Kohli</c:v>
                </c:pt>
                <c:pt idx="1">
                  <c:v>Rinku Singh</c:v>
                </c:pt>
                <c:pt idx="2">
                  <c:v>Abhishek Sharma</c:v>
                </c:pt>
                <c:pt idx="3">
                  <c:v>Andre Russell</c:v>
                </c:pt>
                <c:pt idx="4">
                  <c:v>Arshdeep Singh</c:v>
                </c:pt>
                <c:pt idx="5">
                  <c:v>David Warner</c:v>
                </c:pt>
                <c:pt idx="6">
                  <c:v>Heinrich Klaasen</c:v>
                </c:pt>
                <c:pt idx="7">
                  <c:v>Matheesha Pathirana</c:v>
                </c:pt>
                <c:pt idx="8">
                  <c:v>Sunil Narine</c:v>
                </c:pt>
                <c:pt idx="9">
                  <c:v>Varun Chakravarthy</c:v>
                </c:pt>
                <c:pt idx="10">
                  <c:v>Yuzvendra Chahal</c:v>
                </c:pt>
              </c:strCache>
            </c:strRef>
          </c:cat>
          <c:val>
            <c:numRef>
              <c:f>Player_Summary!$C$76:$C$87</c:f>
              <c:numCache>
                <c:formatCode>General</c:formatCode>
                <c:ptCount val="11"/>
                <c:pt idx="0">
                  <c:v>133.33000000000001</c:v>
                </c:pt>
                <c:pt idx="1">
                  <c:v>556.70000000000005</c:v>
                </c:pt>
                <c:pt idx="2">
                  <c:v>325</c:v>
                </c:pt>
                <c:pt idx="3">
                  <c:v>376.39</c:v>
                </c:pt>
                <c:pt idx="4">
                  <c:v>0</c:v>
                </c:pt>
                <c:pt idx="5">
                  <c:v>157.13999999999999</c:v>
                </c:pt>
                <c:pt idx="6">
                  <c:v>200</c:v>
                </c:pt>
                <c:pt idx="7">
                  <c:v>0</c:v>
                </c:pt>
                <c:pt idx="8">
                  <c:v>150</c:v>
                </c:pt>
                <c:pt idx="9">
                  <c:v>0</c:v>
                </c:pt>
                <c:pt idx="10">
                  <c:v>0</c:v>
                </c:pt>
              </c:numCache>
            </c:numRef>
          </c:val>
          <c:smooth val="0"/>
          <c:extLst>
            <c:ext xmlns:c16="http://schemas.microsoft.com/office/drawing/2014/chart" uri="{C3380CC4-5D6E-409C-BE32-E72D297353CC}">
              <c16:uniqueId val="{00000001-B38B-4EB9-ABD6-304E14EC637F}"/>
            </c:ext>
          </c:extLst>
        </c:ser>
        <c:dLbls>
          <c:showLegendKey val="0"/>
          <c:showVal val="1"/>
          <c:showCatName val="0"/>
          <c:showSerName val="0"/>
          <c:showPercent val="0"/>
          <c:showBubbleSize val="0"/>
        </c:dLbls>
        <c:marker val="1"/>
        <c:smooth val="0"/>
        <c:axId val="1383943280"/>
        <c:axId val="1383926480"/>
      </c:lineChart>
      <c:catAx>
        <c:axId val="138393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27920"/>
        <c:crosses val="autoZero"/>
        <c:auto val="1"/>
        <c:lblAlgn val="ctr"/>
        <c:lblOffset val="100"/>
        <c:noMultiLvlLbl val="0"/>
      </c:catAx>
      <c:valAx>
        <c:axId val="138392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33200"/>
        <c:crosses val="autoZero"/>
        <c:crossBetween val="between"/>
      </c:valAx>
      <c:valAx>
        <c:axId val="1383926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43280"/>
        <c:crosses val="max"/>
        <c:crossBetween val="between"/>
      </c:valAx>
      <c:catAx>
        <c:axId val="1383943280"/>
        <c:scaling>
          <c:orientation val="minMax"/>
        </c:scaling>
        <c:delete val="1"/>
        <c:axPos val="b"/>
        <c:numFmt formatCode="General" sourceLinked="1"/>
        <c:majorTickMark val="out"/>
        <c:minorTickMark val="none"/>
        <c:tickLblPos val="nextTo"/>
        <c:crossAx val="13839264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PROJECT.xlsx]Player_Summary!PivotTable5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Economy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s>
    <c:plotArea>
      <c:layout/>
      <c:pieChart>
        <c:varyColors val="1"/>
        <c:ser>
          <c:idx val="0"/>
          <c:order val="0"/>
          <c:tx>
            <c:strRef>
              <c:f>Player_Summary!$B$110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B-4D3F-89C3-C3DCCAFA2F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4B-4D3F-89C3-C3DCCAFA2F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4B-4D3F-89C3-C3DCCAFA2F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4B-4D3F-89C3-C3DCCAFA2F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4B-4D3F-89C3-C3DCCAFA2F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4B-4D3F-89C3-C3DCCAFA2F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34B-4D3F-89C3-C3DCCAFA2F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4B-4D3F-89C3-C3DCCAFA2F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34B-4D3F-89C3-C3DCCAFA2F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34B-4D3F-89C3-C3DCCAFA2F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34B-4D3F-89C3-C3DCCAFA2F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34B-4D3F-89C3-C3DCCAFA2F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34B-4D3F-89C3-C3DCCAFA2F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34B-4D3F-89C3-C3DCCAFA2F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34B-4D3F-89C3-C3DCCAFA2F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34B-4D3F-89C3-C3DCCAFA2F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34B-4D3F-89C3-C3DCCAFA2F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34B-4D3F-89C3-C3DCCAFA2F4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34B-4D3F-89C3-C3DCCAFA2F4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34B-4D3F-89C3-C3DCCAFA2F4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34B-4D3F-89C3-C3DCCAFA2F4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34B-4D3F-89C3-C3DCCAFA2F4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34B-4D3F-89C3-C3DCCAFA2F4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34B-4D3F-89C3-C3DCCAFA2F4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34B-4D3F-89C3-C3DCCAFA2F4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34B-4D3F-89C3-C3DCCAFA2F4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34B-4D3F-89C3-C3DCCAFA2F4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34B-4D3F-89C3-C3DCCAFA2F4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34B-4D3F-89C3-C3DCCAFA2F4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34B-4D3F-89C3-C3DCCAFA2F4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234B-4D3F-89C3-C3DCCAFA2F4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234B-4D3F-89C3-C3DCCAFA2F4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234B-4D3F-89C3-C3DCCAFA2F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Player_Summary!$A$111:$A$122</c:f>
              <c:strCache>
                <c:ptCount val="11"/>
                <c:pt idx="0">
                  <c:v>Abhishek Sharma</c:v>
                </c:pt>
                <c:pt idx="1">
                  <c:v>Andre Russell</c:v>
                </c:pt>
                <c:pt idx="2">
                  <c:v>Arshdeep Singh</c:v>
                </c:pt>
                <c:pt idx="3">
                  <c:v>David Warner</c:v>
                </c:pt>
                <c:pt idx="4">
                  <c:v>Heinrich Klaasen</c:v>
                </c:pt>
                <c:pt idx="5">
                  <c:v>Matheesha Pathirana</c:v>
                </c:pt>
                <c:pt idx="6">
                  <c:v>Rinku Singh</c:v>
                </c:pt>
                <c:pt idx="7">
                  <c:v>Sunil Narine</c:v>
                </c:pt>
                <c:pt idx="8">
                  <c:v>Varun Chakravarthy</c:v>
                </c:pt>
                <c:pt idx="9">
                  <c:v>Virat Kohli</c:v>
                </c:pt>
                <c:pt idx="10">
                  <c:v>Yuzvendra Chahal</c:v>
                </c:pt>
              </c:strCache>
            </c:strRef>
          </c:cat>
          <c:val>
            <c:numRef>
              <c:f>Player_Summary!$B$111:$B$122</c:f>
              <c:numCache>
                <c:formatCode>General</c:formatCode>
                <c:ptCount val="11"/>
                <c:pt idx="0">
                  <c:v>0</c:v>
                </c:pt>
                <c:pt idx="1">
                  <c:v>18.25</c:v>
                </c:pt>
                <c:pt idx="2">
                  <c:v>7.5</c:v>
                </c:pt>
                <c:pt idx="3">
                  <c:v>0</c:v>
                </c:pt>
                <c:pt idx="4">
                  <c:v>0</c:v>
                </c:pt>
                <c:pt idx="5">
                  <c:v>5.25</c:v>
                </c:pt>
                <c:pt idx="6">
                  <c:v>0</c:v>
                </c:pt>
                <c:pt idx="7">
                  <c:v>6.25</c:v>
                </c:pt>
                <c:pt idx="8">
                  <c:v>5.43</c:v>
                </c:pt>
                <c:pt idx="9">
                  <c:v>0</c:v>
                </c:pt>
                <c:pt idx="10">
                  <c:v>10</c:v>
                </c:pt>
              </c:numCache>
            </c:numRef>
          </c:val>
          <c:extLst>
            <c:ext xmlns:c16="http://schemas.microsoft.com/office/drawing/2014/chart" uri="{C3380CC4-5D6E-409C-BE32-E72D297353CC}">
              <c16:uniqueId val="{00000042-234B-4D3F-89C3-C3DCCAFA2F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DASHBOARD PROJECT.xlsx]Team_summary!PivotTable1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Team_summary!$B$27</c:f>
              <c:strCache>
                <c:ptCount val="1"/>
                <c:pt idx="0">
                  <c:v>Total</c:v>
                </c:pt>
              </c:strCache>
            </c:strRef>
          </c:tx>
          <c:spPr>
            <a:solidFill>
              <a:schemeClr val="accent5"/>
            </a:solidFill>
            <a:ln>
              <a:noFill/>
            </a:ln>
            <a:effectLst/>
          </c:spPr>
          <c:invertIfNegative val="0"/>
          <c:cat>
            <c:strRef>
              <c:f>Team_summary!$A$28:$A$29</c:f>
              <c:strCache>
                <c:ptCount val="1"/>
                <c:pt idx="0">
                  <c:v>Eden Gardens</c:v>
                </c:pt>
              </c:strCache>
            </c:strRef>
          </c:cat>
          <c:val>
            <c:numRef>
              <c:f>Team_summary!$B$28:$B$29</c:f>
              <c:numCache>
                <c:formatCode>General</c:formatCode>
                <c:ptCount val="1"/>
                <c:pt idx="0">
                  <c:v>8</c:v>
                </c:pt>
              </c:numCache>
            </c:numRef>
          </c:val>
          <c:extLst>
            <c:ext xmlns:c16="http://schemas.microsoft.com/office/drawing/2014/chart" uri="{C3380CC4-5D6E-409C-BE32-E72D297353CC}">
              <c16:uniqueId val="{00000000-DC65-4542-97CE-05081E60EDBA}"/>
            </c:ext>
          </c:extLst>
        </c:ser>
        <c:dLbls>
          <c:showLegendKey val="0"/>
          <c:showVal val="0"/>
          <c:showCatName val="0"/>
          <c:showSerName val="0"/>
          <c:showPercent val="0"/>
          <c:showBubbleSize val="0"/>
        </c:dLbls>
        <c:gapWidth val="150"/>
        <c:overlap val="100"/>
        <c:axId val="1542760767"/>
        <c:axId val="1542744927"/>
      </c:barChart>
      <c:catAx>
        <c:axId val="154276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44927"/>
        <c:crosses val="autoZero"/>
        <c:auto val="1"/>
        <c:lblAlgn val="ctr"/>
        <c:lblOffset val="100"/>
        <c:noMultiLvlLbl val="0"/>
      </c:catAx>
      <c:valAx>
        <c:axId val="15427449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6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PROJECT.xlsx]Team_summary!PivotTable4</c:name>
    <c:fmtId val="13"/>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1166806956978816"/>
          <c:y val="0.17904351347772926"/>
          <c:w val="0.36624277682475082"/>
          <c:h val="0.59254227123686687"/>
        </c:manualLayout>
      </c:layout>
      <c:bar3DChart>
        <c:barDir val="bar"/>
        <c:grouping val="clustered"/>
        <c:varyColors val="0"/>
        <c:ser>
          <c:idx val="0"/>
          <c:order val="0"/>
          <c:tx>
            <c:strRef>
              <c:f>Team_summary!$B$16</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Team_summary!$A$17:$A$19</c:f>
              <c:strCache>
                <c:ptCount val="2"/>
                <c:pt idx="0">
                  <c:v>Kolkata Knight Riders (KKR)</c:v>
                </c:pt>
                <c:pt idx="1">
                  <c:v>(blank)</c:v>
                </c:pt>
              </c:strCache>
            </c:strRef>
          </c:cat>
          <c:val>
            <c:numRef>
              <c:f>Team_summary!$B$17:$B$19</c:f>
              <c:numCache>
                <c:formatCode>0</c:formatCode>
                <c:ptCount val="2"/>
                <c:pt idx="0">
                  <c:v>4</c:v>
                </c:pt>
                <c:pt idx="1">
                  <c:v>0</c:v>
                </c:pt>
              </c:numCache>
            </c:numRef>
          </c:val>
          <c:extLst>
            <c:ext xmlns:c16="http://schemas.microsoft.com/office/drawing/2014/chart" uri="{C3380CC4-5D6E-409C-BE32-E72D297353CC}">
              <c16:uniqueId val="{00000000-6171-4031-837D-D31D8BE4BD9B}"/>
            </c:ext>
          </c:extLst>
        </c:ser>
        <c:dLbls>
          <c:showLegendKey val="0"/>
          <c:showVal val="1"/>
          <c:showCatName val="0"/>
          <c:showSerName val="0"/>
          <c:showPercent val="0"/>
          <c:showBubbleSize val="0"/>
        </c:dLbls>
        <c:gapWidth val="150"/>
        <c:shape val="box"/>
        <c:axId val="1451302015"/>
        <c:axId val="1451302975"/>
        <c:axId val="0"/>
      </c:bar3DChart>
      <c:catAx>
        <c:axId val="1451302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2975"/>
        <c:crosses val="autoZero"/>
        <c:auto val="1"/>
        <c:lblAlgn val="ctr"/>
        <c:lblOffset val="100"/>
        <c:noMultiLvlLbl val="0"/>
      </c:catAx>
      <c:valAx>
        <c:axId val="1451302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201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DASHBOARD PROJECT.xlsx]Team_summary!PivotTable5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15879265091864"/>
          <c:y val="0.24476633129192185"/>
          <c:w val="0.76349759405074369"/>
          <c:h val="0.29571595217264507"/>
        </c:manualLayout>
      </c:layout>
      <c:bar3DChart>
        <c:barDir val="col"/>
        <c:grouping val="clustered"/>
        <c:varyColors val="0"/>
        <c:ser>
          <c:idx val="0"/>
          <c:order val="0"/>
          <c:tx>
            <c:strRef>
              <c:f>Team_summary!$L$3</c:f>
              <c:strCache>
                <c:ptCount val="1"/>
                <c:pt idx="0">
                  <c:v>Total</c:v>
                </c:pt>
              </c:strCache>
            </c:strRef>
          </c:tx>
          <c:spPr>
            <a:solidFill>
              <a:schemeClr val="accent2"/>
            </a:solidFill>
            <a:ln>
              <a:noFill/>
            </a:ln>
            <a:effectLst/>
            <a:sp3d/>
          </c:spPr>
          <c:invertIfNegative val="0"/>
          <c:cat>
            <c:strRef>
              <c:f>Team_summary!$K$4:$K$5</c:f>
              <c:strCache>
                <c:ptCount val="1"/>
                <c:pt idx="0">
                  <c:v>Kolkata Knight Riders (KKR)</c:v>
                </c:pt>
              </c:strCache>
            </c:strRef>
          </c:cat>
          <c:val>
            <c:numRef>
              <c:f>Team_summary!$L$4:$L$5</c:f>
              <c:numCache>
                <c:formatCode>General</c:formatCode>
                <c:ptCount val="1"/>
                <c:pt idx="0">
                  <c:v>2788</c:v>
                </c:pt>
              </c:numCache>
            </c:numRef>
          </c:val>
          <c:extLst>
            <c:ext xmlns:c16="http://schemas.microsoft.com/office/drawing/2014/chart" uri="{C3380CC4-5D6E-409C-BE32-E72D297353CC}">
              <c16:uniqueId val="{00000000-8813-49BD-93F7-436BABB4EB1E}"/>
            </c:ext>
          </c:extLst>
        </c:ser>
        <c:dLbls>
          <c:showLegendKey val="0"/>
          <c:showVal val="0"/>
          <c:showCatName val="0"/>
          <c:showSerName val="0"/>
          <c:showPercent val="0"/>
          <c:showBubbleSize val="0"/>
        </c:dLbls>
        <c:gapWidth val="150"/>
        <c:shape val="box"/>
        <c:axId val="1762124463"/>
        <c:axId val="1762124943"/>
        <c:axId val="0"/>
      </c:bar3DChart>
      <c:catAx>
        <c:axId val="176212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124943"/>
        <c:crosses val="autoZero"/>
        <c:auto val="1"/>
        <c:lblAlgn val="ctr"/>
        <c:lblOffset val="100"/>
        <c:noMultiLvlLbl val="0"/>
      </c:catAx>
      <c:valAx>
        <c:axId val="176212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12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DASHBOARD PROJECT.xlsx]Team_summary!PivotTable6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25400">
            <a:solidFill>
              <a:schemeClr val="lt1"/>
            </a:solidFill>
          </a:ln>
          <a:effectLst/>
          <a:sp3d contourW="25400">
            <a:contourClr>
              <a:schemeClr val="lt1"/>
            </a:contourClr>
          </a:sp3d>
        </c:spPr>
      </c:pivotFmt>
      <c:pivotFmt>
        <c:idx val="2"/>
        <c:spPr>
          <a:solidFill>
            <a:schemeClr val="accent2">
              <a:tint val="77000"/>
            </a:schemeClr>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w="25400">
            <a:solidFill>
              <a:schemeClr val="lt1"/>
            </a:solidFill>
          </a:ln>
          <a:effectLst/>
          <a:sp3d contourW="25400">
            <a:contourClr>
              <a:schemeClr val="lt1"/>
            </a:contourClr>
          </a:sp3d>
        </c:spPr>
      </c:pivotFmt>
      <c:pivotFmt>
        <c:idx val="5"/>
        <c:spPr>
          <a:solidFill>
            <a:schemeClr val="accent2">
              <a:tint val="77000"/>
            </a:schemeClr>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76000"/>
            </a:schemeClr>
          </a:solidFill>
          <a:ln w="25400">
            <a:solidFill>
              <a:schemeClr val="lt1"/>
            </a:solidFill>
          </a:ln>
          <a:effectLst/>
          <a:sp3d contourW="25400">
            <a:contourClr>
              <a:schemeClr val="lt1"/>
            </a:contourClr>
          </a:sp3d>
        </c:spPr>
      </c:pivotFmt>
      <c:pivotFmt>
        <c:idx val="8"/>
        <c:spPr>
          <a:solidFill>
            <a:schemeClr val="accent2">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Team_summary!$O$3</c:f>
              <c:strCache>
                <c:ptCount val="1"/>
                <c:pt idx="0">
                  <c:v>Total</c:v>
                </c:pt>
              </c:strCache>
            </c:strRef>
          </c:tx>
          <c:dPt>
            <c:idx val="0"/>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7E-4E7E-BB7D-D92793BE7AA5}"/>
              </c:ext>
            </c:extLst>
          </c:dPt>
          <c:dPt>
            <c:idx val="1"/>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7E-4E7E-BB7D-D92793BE7A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Team_summary!$N$4:$N$6</c:f>
              <c:strCache>
                <c:ptCount val="2"/>
                <c:pt idx="0">
                  <c:v>Win by runs</c:v>
                </c:pt>
                <c:pt idx="1">
                  <c:v>Win by wicket</c:v>
                </c:pt>
              </c:strCache>
            </c:strRef>
          </c:cat>
          <c:val>
            <c:numRef>
              <c:f>Team_summary!$O$4:$O$6</c:f>
              <c:numCache>
                <c:formatCode>General</c:formatCode>
                <c:ptCount val="2"/>
                <c:pt idx="0">
                  <c:v>1480</c:v>
                </c:pt>
                <c:pt idx="1">
                  <c:v>1308</c:v>
                </c:pt>
              </c:numCache>
            </c:numRef>
          </c:val>
          <c:extLst>
            <c:ext xmlns:c16="http://schemas.microsoft.com/office/drawing/2014/chart" uri="{C3380CC4-5D6E-409C-BE32-E72D297353CC}">
              <c16:uniqueId val="{00000004-433B-4AA7-BB67-FA1CE3D0ACC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121920</xdr:colOff>
      <xdr:row>10</xdr:row>
      <xdr:rowOff>91440</xdr:rowOff>
    </xdr:from>
    <xdr:to>
      <xdr:col>18</xdr:col>
      <xdr:colOff>91440</xdr:colOff>
      <xdr:row>41</xdr:row>
      <xdr:rowOff>144780</xdr:rowOff>
    </xdr:to>
    <xdr:grpSp>
      <xdr:nvGrpSpPr>
        <xdr:cNvPr id="6" name="Group 5">
          <a:extLst>
            <a:ext uri="{FF2B5EF4-FFF2-40B4-BE49-F238E27FC236}">
              <a16:creationId xmlns:a16="http://schemas.microsoft.com/office/drawing/2014/main" id="{2F963403-7A9F-2E91-C317-DA408BA50A93}"/>
            </a:ext>
          </a:extLst>
        </xdr:cNvPr>
        <xdr:cNvGrpSpPr/>
      </xdr:nvGrpSpPr>
      <xdr:grpSpPr>
        <a:xfrm>
          <a:off x="3406140" y="1920240"/>
          <a:ext cx="9890760" cy="5722620"/>
          <a:chOff x="4122420" y="1920240"/>
          <a:chExt cx="8145780" cy="5722620"/>
        </a:xfrm>
      </xdr:grpSpPr>
      <xdr:graphicFrame macro="">
        <xdr:nvGraphicFramePr>
          <xdr:cNvPr id="3" name="Chart 2">
            <a:extLst>
              <a:ext uri="{FF2B5EF4-FFF2-40B4-BE49-F238E27FC236}">
                <a16:creationId xmlns:a16="http://schemas.microsoft.com/office/drawing/2014/main" id="{1B390515-84DD-0170-5E72-5FD13E90EF13}"/>
              </a:ext>
            </a:extLst>
          </xdr:cNvPr>
          <xdr:cNvGraphicFramePr/>
        </xdr:nvGraphicFramePr>
        <xdr:xfrm>
          <a:off x="4122420" y="3268980"/>
          <a:ext cx="2887980" cy="18440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14E4DB6C-E11F-15BF-540F-39713CE57203}"/>
              </a:ext>
            </a:extLst>
          </xdr:cNvPr>
          <xdr:cNvGraphicFramePr/>
        </xdr:nvGraphicFramePr>
        <xdr:xfrm>
          <a:off x="7155180" y="2971800"/>
          <a:ext cx="1965960" cy="22174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A69F7D24-445F-E2AF-403B-071AFF3B3B2E}"/>
              </a:ext>
            </a:extLst>
          </xdr:cNvPr>
          <xdr:cNvGraphicFramePr/>
        </xdr:nvGraphicFramePr>
        <xdr:xfrm>
          <a:off x="9723120" y="1920240"/>
          <a:ext cx="2545080" cy="19964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 name="Chart 1">
            <a:extLst>
              <a:ext uri="{FF2B5EF4-FFF2-40B4-BE49-F238E27FC236}">
                <a16:creationId xmlns:a16="http://schemas.microsoft.com/office/drawing/2014/main" id="{CE7712BF-DE36-70AA-854A-CBAA23954A97}"/>
              </a:ext>
            </a:extLst>
          </xdr:cNvPr>
          <xdr:cNvGraphicFramePr/>
        </xdr:nvGraphicFramePr>
        <xdr:xfrm>
          <a:off x="4137660" y="5722620"/>
          <a:ext cx="5128260" cy="19202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49530</xdr:colOff>
      <xdr:row>9</xdr:row>
      <xdr:rowOff>148590</xdr:rowOff>
    </xdr:from>
    <xdr:to>
      <xdr:col>13</xdr:col>
      <xdr:colOff>582930</xdr:colOff>
      <xdr:row>24</xdr:row>
      <xdr:rowOff>148590</xdr:rowOff>
    </xdr:to>
    <xdr:graphicFrame macro="">
      <xdr:nvGraphicFramePr>
        <xdr:cNvPr id="2" name="Chart 1">
          <a:extLst>
            <a:ext uri="{FF2B5EF4-FFF2-40B4-BE49-F238E27FC236}">
              <a16:creationId xmlns:a16="http://schemas.microsoft.com/office/drawing/2014/main" id="{8001C5DE-F987-6176-E0B9-18F353025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47</xdr:row>
      <xdr:rowOff>3810</xdr:rowOff>
    </xdr:from>
    <xdr:to>
      <xdr:col>8</xdr:col>
      <xdr:colOff>102870</xdr:colOff>
      <xdr:row>62</xdr:row>
      <xdr:rowOff>3810</xdr:rowOff>
    </xdr:to>
    <xdr:graphicFrame macro="">
      <xdr:nvGraphicFramePr>
        <xdr:cNvPr id="3" name="Chart 2">
          <a:extLst>
            <a:ext uri="{FF2B5EF4-FFF2-40B4-BE49-F238E27FC236}">
              <a16:creationId xmlns:a16="http://schemas.microsoft.com/office/drawing/2014/main" id="{33FD4C73-609F-79D0-C686-03AD32AC4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339090</xdr:colOff>
      <xdr:row>109</xdr:row>
      <xdr:rowOff>34290</xdr:rowOff>
    </xdr:from>
    <xdr:to>
      <xdr:col>8</xdr:col>
      <xdr:colOff>3810</xdr:colOff>
      <xdr:row>124</xdr:row>
      <xdr:rowOff>34290</xdr:rowOff>
    </xdr:to>
    <xdr:graphicFrame macro="">
      <xdr:nvGraphicFramePr>
        <xdr:cNvPr id="5" name="Chart 4">
          <a:extLst>
            <a:ext uri="{FF2B5EF4-FFF2-40B4-BE49-F238E27FC236}">
              <a16:creationId xmlns:a16="http://schemas.microsoft.com/office/drawing/2014/main" id="{B5B72723-9252-0402-5A78-3B3B9734F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320040</xdr:colOff>
      <xdr:row>87</xdr:row>
      <xdr:rowOff>68580</xdr:rowOff>
    </xdr:from>
    <xdr:to>
      <xdr:col>10</xdr:col>
      <xdr:colOff>350520</xdr:colOff>
      <xdr:row>106</xdr:row>
      <xdr:rowOff>114300</xdr:rowOff>
    </xdr:to>
    <xdr:graphicFrame macro="">
      <xdr:nvGraphicFramePr>
        <xdr:cNvPr id="6" name="Chart 5">
          <a:extLst>
            <a:ext uri="{FF2B5EF4-FFF2-40B4-BE49-F238E27FC236}">
              <a16:creationId xmlns:a16="http://schemas.microsoft.com/office/drawing/2014/main" id="{EB4F1788-4C78-5E19-8787-BFFD6B91D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13</xdr:row>
      <xdr:rowOff>7620</xdr:rowOff>
    </xdr:from>
    <xdr:to>
      <xdr:col>9</xdr:col>
      <xdr:colOff>76200</xdr:colOff>
      <xdr:row>30</xdr:row>
      <xdr:rowOff>15240</xdr:rowOff>
    </xdr:to>
    <xdr:graphicFrame macro="">
      <xdr:nvGraphicFramePr>
        <xdr:cNvPr id="20" name="Chart 1">
          <a:extLst>
            <a:ext uri="{FF2B5EF4-FFF2-40B4-BE49-F238E27FC236}">
              <a16:creationId xmlns:a16="http://schemas.microsoft.com/office/drawing/2014/main" id="{38265ED6-24A9-4918-802A-668FA078B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91440</xdr:colOff>
      <xdr:row>13</xdr:row>
      <xdr:rowOff>15240</xdr:rowOff>
    </xdr:from>
    <xdr:to>
      <xdr:col>18</xdr:col>
      <xdr:colOff>30480</xdr:colOff>
      <xdr:row>30</xdr:row>
      <xdr:rowOff>7620</xdr:rowOff>
    </xdr:to>
    <xdr:graphicFrame macro="">
      <xdr:nvGraphicFramePr>
        <xdr:cNvPr id="19" name="Chart 2">
          <a:extLst>
            <a:ext uri="{FF2B5EF4-FFF2-40B4-BE49-F238E27FC236}">
              <a16:creationId xmlns:a16="http://schemas.microsoft.com/office/drawing/2014/main" id="{CBE14104-4F8C-4F30-86D0-9FEABE677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xdr:rowOff>
    </xdr:from>
    <xdr:to>
      <xdr:col>12</xdr:col>
      <xdr:colOff>396240</xdr:colOff>
      <xdr:row>46</xdr:row>
      <xdr:rowOff>53340</xdr:rowOff>
    </xdr:to>
    <xdr:graphicFrame macro="">
      <xdr:nvGraphicFramePr>
        <xdr:cNvPr id="18" name="Chart 4">
          <a:extLst>
            <a:ext uri="{FF2B5EF4-FFF2-40B4-BE49-F238E27FC236}">
              <a16:creationId xmlns:a16="http://schemas.microsoft.com/office/drawing/2014/main" id="{14251509-1604-449D-A73B-592664201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403860</xdr:colOff>
      <xdr:row>30</xdr:row>
      <xdr:rowOff>38100</xdr:rowOff>
    </xdr:from>
    <xdr:to>
      <xdr:col>17</xdr:col>
      <xdr:colOff>586740</xdr:colOff>
      <xdr:row>46</xdr:row>
      <xdr:rowOff>60960</xdr:rowOff>
    </xdr:to>
    <xdr:graphicFrame macro="">
      <xdr:nvGraphicFramePr>
        <xdr:cNvPr id="22" name="Chart 5">
          <a:extLst>
            <a:ext uri="{FF2B5EF4-FFF2-40B4-BE49-F238E27FC236}">
              <a16:creationId xmlns:a16="http://schemas.microsoft.com/office/drawing/2014/main" id="{CB40F157-4BDC-40FE-9E25-A1E4D66F7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236220</xdr:colOff>
      <xdr:row>0</xdr:row>
      <xdr:rowOff>38100</xdr:rowOff>
    </xdr:from>
    <xdr:to>
      <xdr:col>15</xdr:col>
      <xdr:colOff>236220</xdr:colOff>
      <xdr:row>12</xdr:row>
      <xdr:rowOff>144780</xdr:rowOff>
    </xdr:to>
    <mc:AlternateContent xmlns:mc="http://schemas.openxmlformats.org/markup-compatibility/2006">
      <mc:Choice xmlns:a14="http://schemas.microsoft.com/office/drawing/2010/main" Requires="a14">
        <xdr:graphicFrame macro="">
          <xdr:nvGraphicFramePr>
            <xdr:cNvPr id="13" name="Venue_Name 1">
              <a:extLst>
                <a:ext uri="{FF2B5EF4-FFF2-40B4-BE49-F238E27FC236}">
                  <a16:creationId xmlns:a16="http://schemas.microsoft.com/office/drawing/2014/main" id="{8B9B3450-BE6D-4A91-9223-49096E0B9333}"/>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7551420" y="38100"/>
              <a:ext cx="182880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0</xdr:row>
      <xdr:rowOff>15240</xdr:rowOff>
    </xdr:from>
    <xdr:to>
      <xdr:col>4</xdr:col>
      <xdr:colOff>518160</xdr:colOff>
      <xdr:row>12</xdr:row>
      <xdr:rowOff>152400</xdr:rowOff>
    </xdr:to>
    <xdr:pic>
      <xdr:nvPicPr>
        <xdr:cNvPr id="7" name="Picture 9">
          <a:extLst>
            <a:ext uri="{FF2B5EF4-FFF2-40B4-BE49-F238E27FC236}">
              <a16:creationId xmlns:a16="http://schemas.microsoft.com/office/drawing/2014/main" id="{39896694-87EE-4973-A257-ACA131B71B6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40"/>
          <a:ext cx="2918460" cy="2331720"/>
        </a:xfrm>
        <a:prstGeom prst="rect">
          <a:avLst/>
        </a:prstGeom>
      </xdr:spPr>
    </xdr:pic>
    <xdr:clientData/>
  </xdr:twoCellAnchor>
  <xdr:twoCellAnchor>
    <xdr:from>
      <xdr:col>4</xdr:col>
      <xdr:colOff>579120</xdr:colOff>
      <xdr:row>2</xdr:row>
      <xdr:rowOff>38100</xdr:rowOff>
    </xdr:from>
    <xdr:to>
      <xdr:col>7</xdr:col>
      <xdr:colOff>586740</xdr:colOff>
      <xdr:row>8</xdr:row>
      <xdr:rowOff>22860</xdr:rowOff>
    </xdr:to>
    <xdr:sp macro="" textlink="">
      <xdr:nvSpPr>
        <xdr:cNvPr id="25" name="Rectangle 24">
          <a:extLst>
            <a:ext uri="{FF2B5EF4-FFF2-40B4-BE49-F238E27FC236}">
              <a16:creationId xmlns:a16="http://schemas.microsoft.com/office/drawing/2014/main" id="{BD675948-40D7-45B6-A271-B98B1B2A1A9A}"/>
            </a:ext>
          </a:extLst>
        </xdr:cNvPr>
        <xdr:cNvSpPr/>
      </xdr:nvSpPr>
      <xdr:spPr>
        <a:xfrm>
          <a:off x="4846320" y="220980"/>
          <a:ext cx="1836420" cy="14859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579120</xdr:colOff>
      <xdr:row>2</xdr:row>
      <xdr:rowOff>38100</xdr:rowOff>
    </xdr:from>
    <xdr:to>
      <xdr:col>11</xdr:col>
      <xdr:colOff>586740</xdr:colOff>
      <xdr:row>8</xdr:row>
      <xdr:rowOff>22860</xdr:rowOff>
    </xdr:to>
    <xdr:sp macro="" textlink="">
      <xdr:nvSpPr>
        <xdr:cNvPr id="26" name="Rectangle 25">
          <a:extLst>
            <a:ext uri="{FF2B5EF4-FFF2-40B4-BE49-F238E27FC236}">
              <a16:creationId xmlns:a16="http://schemas.microsoft.com/office/drawing/2014/main" id="{704530F9-AE28-4CE8-B4F0-5197E93BE58C}"/>
            </a:ext>
          </a:extLst>
        </xdr:cNvPr>
        <xdr:cNvSpPr/>
      </xdr:nvSpPr>
      <xdr:spPr>
        <a:xfrm>
          <a:off x="4846320" y="220980"/>
          <a:ext cx="1836420" cy="14859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457200</xdr:colOff>
      <xdr:row>23</xdr:row>
      <xdr:rowOff>121920</xdr:rowOff>
    </xdr:from>
    <xdr:to>
      <xdr:col>13</xdr:col>
      <xdr:colOff>381000</xdr:colOff>
      <xdr:row>35</xdr:row>
      <xdr:rowOff>160020</xdr:rowOff>
    </xdr:to>
    <xdr:graphicFrame macro="">
      <xdr:nvGraphicFramePr>
        <xdr:cNvPr id="2" name="Chart 1">
          <a:extLst>
            <a:ext uri="{FF2B5EF4-FFF2-40B4-BE49-F238E27FC236}">
              <a16:creationId xmlns:a16="http://schemas.microsoft.com/office/drawing/2014/main" id="{41410137-C28B-4517-8528-2FD4E5BAD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464820</xdr:colOff>
      <xdr:row>9</xdr:row>
      <xdr:rowOff>22860</xdr:rowOff>
    </xdr:from>
    <xdr:to>
      <xdr:col>11</xdr:col>
      <xdr:colOff>0</xdr:colOff>
      <xdr:row>23</xdr:row>
      <xdr:rowOff>99060</xdr:rowOff>
    </xdr:to>
    <xdr:graphicFrame macro="">
      <xdr:nvGraphicFramePr>
        <xdr:cNvPr id="3" name="Chart 2">
          <a:extLst>
            <a:ext uri="{FF2B5EF4-FFF2-40B4-BE49-F238E27FC236}">
              <a16:creationId xmlns:a16="http://schemas.microsoft.com/office/drawing/2014/main" id="{AEE274B6-1F6A-4B4E-BD80-7146EBA57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9</xdr:row>
      <xdr:rowOff>22860</xdr:rowOff>
    </xdr:from>
    <xdr:to>
      <xdr:col>17</xdr:col>
      <xdr:colOff>7620</xdr:colOff>
      <xdr:row>23</xdr:row>
      <xdr:rowOff>99060</xdr:rowOff>
    </xdr:to>
    <xdr:graphicFrame macro="">
      <xdr:nvGraphicFramePr>
        <xdr:cNvPr id="4" name="Chart 3">
          <a:extLst>
            <a:ext uri="{FF2B5EF4-FFF2-40B4-BE49-F238E27FC236}">
              <a16:creationId xmlns:a16="http://schemas.microsoft.com/office/drawing/2014/main" id="{44BBF085-288A-4681-89EE-5F1731645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403860</xdr:colOff>
      <xdr:row>23</xdr:row>
      <xdr:rowOff>106680</xdr:rowOff>
    </xdr:from>
    <xdr:to>
      <xdr:col>23</xdr:col>
      <xdr:colOff>7620</xdr:colOff>
      <xdr:row>35</xdr:row>
      <xdr:rowOff>175260</xdr:rowOff>
    </xdr:to>
    <xdr:graphicFrame macro="">
      <xdr:nvGraphicFramePr>
        <xdr:cNvPr id="5" name="Chart 4">
          <a:extLst>
            <a:ext uri="{FF2B5EF4-FFF2-40B4-BE49-F238E27FC236}">
              <a16:creationId xmlns:a16="http://schemas.microsoft.com/office/drawing/2014/main" id="{77585A1E-80FF-4454-B7BE-B12CA711F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38100</xdr:colOff>
      <xdr:row>9</xdr:row>
      <xdr:rowOff>15240</xdr:rowOff>
    </xdr:from>
    <xdr:to>
      <xdr:col>20</xdr:col>
      <xdr:colOff>38100</xdr:colOff>
      <xdr:row>23</xdr:row>
      <xdr:rowOff>76200</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2CFBBD11-528B-9C45-E3F7-95092730DB36}"/>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0401300" y="2065020"/>
              <a:ext cx="1828800" cy="2621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60960</xdr:colOff>
      <xdr:row>9</xdr:row>
      <xdr:rowOff>22860</xdr:rowOff>
    </xdr:from>
    <xdr:to>
      <xdr:col>23</xdr:col>
      <xdr:colOff>60960</xdr:colOff>
      <xdr:row>23</xdr:row>
      <xdr:rowOff>68580</xdr:rowOff>
    </xdr:to>
    <mc:AlternateContent xmlns:mc="http://schemas.openxmlformats.org/markup-compatibility/2006" xmlns:a14="http://schemas.microsoft.com/office/drawing/2010/main">
      <mc:Choice Requires="a14">
        <xdr:graphicFrame macro="">
          <xdr:nvGraphicFramePr>
            <xdr:cNvPr id="8" name="Venue_Name">
              <a:extLst>
                <a:ext uri="{FF2B5EF4-FFF2-40B4-BE49-F238E27FC236}">
                  <a16:creationId xmlns:a16="http://schemas.microsoft.com/office/drawing/2014/main" id="{5B083E4C-2DD4-BE77-2F43-E3C72DED79F5}"/>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2252960" y="2072640"/>
              <a:ext cx="1828800" cy="2606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518160</xdr:colOff>
      <xdr:row>1</xdr:row>
      <xdr:rowOff>83820</xdr:rowOff>
    </xdr:from>
    <xdr:to>
      <xdr:col>6</xdr:col>
      <xdr:colOff>502920</xdr:colOff>
      <xdr:row>7</xdr:row>
      <xdr:rowOff>160020</xdr:rowOff>
    </xdr:to>
    <xdr:pic>
      <xdr:nvPicPr>
        <xdr:cNvPr id="10" name="Picture 9">
          <a:extLst>
            <a:ext uri="{FF2B5EF4-FFF2-40B4-BE49-F238E27FC236}">
              <a16:creationId xmlns:a16="http://schemas.microsoft.com/office/drawing/2014/main" id="{E37E0763-6AB0-9332-01B9-15D78F76467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7760" y="266700"/>
          <a:ext cx="3032760" cy="1577340"/>
        </a:xfrm>
        <a:prstGeom prst="rect">
          <a:avLst/>
        </a:prstGeom>
      </xdr:spPr>
    </xdr:pic>
    <xdr:clientData/>
  </xdr:twoCellAnchor>
  <xdr:twoCellAnchor>
    <xdr:from>
      <xdr:col>7</xdr:col>
      <xdr:colOff>579120</xdr:colOff>
      <xdr:row>1</xdr:row>
      <xdr:rowOff>38100</xdr:rowOff>
    </xdr:from>
    <xdr:to>
      <xdr:col>10</xdr:col>
      <xdr:colOff>586740</xdr:colOff>
      <xdr:row>7</xdr:row>
      <xdr:rowOff>22860</xdr:rowOff>
    </xdr:to>
    <xdr:sp macro="" textlink="">
      <xdr:nvSpPr>
        <xdr:cNvPr id="13" name="Rectangle 12">
          <a:extLst>
            <a:ext uri="{FF2B5EF4-FFF2-40B4-BE49-F238E27FC236}">
              <a16:creationId xmlns:a16="http://schemas.microsoft.com/office/drawing/2014/main" id="{5ADD044C-BFFA-6209-8AC9-EC18ABC3A169}"/>
            </a:ext>
          </a:extLst>
        </xdr:cNvPr>
        <xdr:cNvSpPr/>
      </xdr:nvSpPr>
      <xdr:spPr>
        <a:xfrm>
          <a:off x="4846320" y="220980"/>
          <a:ext cx="1836420" cy="14859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586740</xdr:colOff>
      <xdr:row>0</xdr:row>
      <xdr:rowOff>175260</xdr:rowOff>
    </xdr:from>
    <xdr:to>
      <xdr:col>14</xdr:col>
      <xdr:colOff>586740</xdr:colOff>
      <xdr:row>6</xdr:row>
      <xdr:rowOff>167640</xdr:rowOff>
    </xdr:to>
    <xdr:sp macro="" textlink="">
      <xdr:nvSpPr>
        <xdr:cNvPr id="14" name="Rectangle 13">
          <a:extLst>
            <a:ext uri="{FF2B5EF4-FFF2-40B4-BE49-F238E27FC236}">
              <a16:creationId xmlns:a16="http://schemas.microsoft.com/office/drawing/2014/main" id="{9D66270B-BF97-3A58-8575-9F232A438870}"/>
            </a:ext>
          </a:extLst>
        </xdr:cNvPr>
        <xdr:cNvSpPr/>
      </xdr:nvSpPr>
      <xdr:spPr>
        <a:xfrm>
          <a:off x="7292340" y="175260"/>
          <a:ext cx="1828800" cy="13487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1</xdr:row>
      <xdr:rowOff>0</xdr:rowOff>
    </xdr:from>
    <xdr:to>
      <xdr:col>19</xdr:col>
      <xdr:colOff>0</xdr:colOff>
      <xdr:row>6</xdr:row>
      <xdr:rowOff>175260</xdr:rowOff>
    </xdr:to>
    <xdr:sp macro="" textlink="">
      <xdr:nvSpPr>
        <xdr:cNvPr id="16" name="Rectangle 15">
          <a:extLst>
            <a:ext uri="{FF2B5EF4-FFF2-40B4-BE49-F238E27FC236}">
              <a16:creationId xmlns:a16="http://schemas.microsoft.com/office/drawing/2014/main" id="{8FA1151D-018A-46C9-8626-033846D5EBF4}"/>
            </a:ext>
          </a:extLst>
        </xdr:cNvPr>
        <xdr:cNvSpPr/>
      </xdr:nvSpPr>
      <xdr:spPr>
        <a:xfrm>
          <a:off x="9753600" y="182880"/>
          <a:ext cx="1828800" cy="13487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601980</xdr:colOff>
      <xdr:row>1</xdr:row>
      <xdr:rowOff>0</xdr:rowOff>
    </xdr:from>
    <xdr:to>
      <xdr:col>23</xdr:col>
      <xdr:colOff>0</xdr:colOff>
      <xdr:row>6</xdr:row>
      <xdr:rowOff>175260</xdr:rowOff>
    </xdr:to>
    <xdr:sp macro="" textlink="">
      <xdr:nvSpPr>
        <xdr:cNvPr id="17" name="Rectangle 16">
          <a:extLst>
            <a:ext uri="{FF2B5EF4-FFF2-40B4-BE49-F238E27FC236}">
              <a16:creationId xmlns:a16="http://schemas.microsoft.com/office/drawing/2014/main" id="{BBE090A0-9DDF-4229-BA34-C667920D455D}"/>
            </a:ext>
          </a:extLst>
        </xdr:cNvPr>
        <xdr:cNvSpPr/>
      </xdr:nvSpPr>
      <xdr:spPr>
        <a:xfrm>
          <a:off x="12184380" y="182880"/>
          <a:ext cx="1836420" cy="13487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82407405" backgroundQuery="1" createdVersion="8" refreshedVersion="8" minRefreshableVersion="3" recordCount="0" supportSubquery="1" supportAdvancedDrill="1" xr:uid="{D57F0DD3-7790-40F0-99EA-3BB5DC6ABE10}">
  <cacheSource type="external" connectionId="9"/>
  <cacheFields count="3">
    <cacheField name="[dim_team].[Team_Name].[Team_Name]" caption="Team_Name" numFmtId="0" hierarchy="9" level="1">
      <sharedItems count="1">
        <s v="Kolkata Knight Riders (KKR)"/>
      </sharedItems>
    </cacheField>
    <cacheField name="[Measures].[Sum of Total_Runs]" caption="Sum of Total_Runs" numFmtId="0" hierarchy="67"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WINNER]" caption="IS_HOME_WINNER" attribute="1" defaultMemberUniqueName="[fact_match].[IS_HOME_WINNER].[All]" allUniqueName="[fact_match].[IS_HOME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87384262" backgroundQuery="1" createdVersion="8" refreshedVersion="8" minRefreshableVersion="3" recordCount="0" supportSubquery="1" supportAdvancedDrill="1" xr:uid="{38728FE5-41EB-4343-AC73-5EDB3043F7A4}">
  <cacheSource type="external" connectionId="9"/>
  <cacheFields count="10">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dim_team].[Team_Name].[Team_Name]" caption="Team_Name" numFmtId="0" hierarchy="9" level="1">
      <sharedItems count="1">
        <s v="Kolkata Knight Riders (KKR)"/>
      </sharedItems>
    </cacheField>
    <cacheField name="[dim_player].[Role].[Role]" caption="Role" numFmtId="0" hierarchy="3" level="1">
      <sharedItems count="4">
        <s v="Batsman"/>
        <s v="All-Rounder"/>
        <s v="Bowler"/>
        <s v="Wicketkeeper"/>
      </sharedItems>
    </cacheField>
    <cacheField name="[Measures].[Sum of Runs]" caption="Sum of Runs" numFmtId="0" hierarchy="68" level="32767"/>
    <cacheField name="[Measures].[Sum of Balls_Faced]" caption="Sum of Balls_Faced" numFmtId="0" hierarchy="69" level="32767"/>
    <cacheField name="[Measures].[Sum of Wickets]" caption="Sum of Wickets" numFmtId="0" hierarchy="70" level="32767"/>
    <cacheField name="[Measures].[Sum of Runs_Conceded]" caption="Sum of Runs_Conceded" numFmtId="0" hierarchy="71" level="32767"/>
    <cacheField name="[Measures].[Sum of Economy]" caption="Sum of Economy" numFmtId="0" hierarchy="72" level="32767"/>
    <cacheField name="[Measures].[Sum of Strike_Rate]" caption="Sum of Strike_Rate" numFmtId="0" hierarchy="73"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oneField="1" hidden="1">
      <fieldsUsage count="1">
        <fieldUsage x="7"/>
      </fieldsUsage>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oneField="1" hidden="1">
      <fieldsUsage count="1">
        <fieldUsage x="8"/>
      </fieldsUsage>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8761574" backgroundQuery="1" createdVersion="8" refreshedVersion="8" minRefreshableVersion="3" recordCount="0" supportSubquery="1" supportAdvancedDrill="1" xr:uid="{BBD92E7A-2423-460E-8A2A-F06EF6C1A592}">
  <cacheSource type="external" connectionId="9"/>
  <cacheFields count="1">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0"/>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90393518" backgroundQuery="1" createdVersion="8" refreshedVersion="8" minRefreshableVersion="3" recordCount="0" supportSubquery="1" supportAdvancedDrill="1" xr:uid="{364BF813-8477-4D59-982E-F5AC7923AC5F}">
  <cacheSource type="external" connectionId="9"/>
  <cacheFields count="2">
    <cacheField name="[fact_match].[Venue_Name].[Venue_Name]" caption="Venue_Name" numFmtId="0" hierarchy="37" level="1">
      <sharedItems count="1">
        <s v="Eden Gardens"/>
      </sharedItems>
    </cacheField>
    <cacheField name="[Measures].[Count of Team_ID]" caption="Count of Team_ID" numFmtId="0" hierarchy="74" level="32767"/>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0"/>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93749998" backgroundQuery="1" createdVersion="8" refreshedVersion="8" minRefreshableVersion="3" recordCount="0" supportSubquery="1" supportAdvancedDrill="1" xr:uid="{69987914-0660-48F7-A774-BCBAA1C78895}">
  <cacheSource type="external" connectionId="9"/>
  <cacheFields count="6">
    <cacheField name="[dim_team].[Team_Name].[Team_Name]" caption="Team_Name" numFmtId="0" hierarchy="9" level="1">
      <sharedItems containsBlank="1" count="2">
        <s v="Kolkata Knight Riders (KKR)"/>
        <m/>
      </sharedItems>
    </cacheField>
    <cacheField name="[Measures].[Count of Match_ID]" caption="Count of Match_ID" numFmtId="0" hierarchy="66" level="32767"/>
    <cacheField name="[Measures].[Sum of Total_Runs]" caption="Sum of Total_Runs" numFmtId="0" hierarchy="67" level="32767"/>
    <cacheField name="[Measures].[TotalWickets]" caption="TotalWickets" numFmtId="0" hierarchy="53" level="32767"/>
    <cacheField name="[Measures].[TeamWins]" caption="TeamWins" numFmtId="0" hierarchy="58"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oneField="1">
      <fieldsUsage count="1">
        <fieldUsage x="3"/>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4"/>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96412038" backgroundQuery="1" createdVersion="8" refreshedVersion="8" minRefreshableVersion="3" recordCount="0" supportSubquery="1" supportAdvancedDrill="1" xr:uid="{B481F9C3-2B15-4AE2-A40D-4882BF9C9B09}">
  <cacheSource type="external" connectionId="9"/>
  <cacheFields count="3">
    <cacheField name="[dim_team].[Team_Name].[Team_Name]" caption="Team_Name" numFmtId="0" hierarchy="9" level="1">
      <sharedItems containsBlank="1" count="2">
        <s v="Kolkata Knight Riders (KKR)"/>
        <m/>
      </sharedItems>
    </cacheField>
    <cacheField name="[Measures].[TeamWins]" caption="TeamWins" numFmtId="0" hierarchy="58"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299305555" backgroundQuery="1" createdVersion="8" refreshedVersion="8" minRefreshableVersion="3" recordCount="0" supportSubquery="1" supportAdvancedDrill="1" xr:uid="{148C28B9-04E9-4411-A53B-CBF9A145BD2C}">
  <cacheSource type="external" connectionId="9"/>
  <cacheFields count="4">
    <cacheField name="[dim_team].[Team_Name].[Team_Name]" caption="Team_Name" numFmtId="0" hierarchy="9" level="1">
      <sharedItems containsSemiMixedTypes="0" containsNonDate="0" containsString="0"/>
    </cacheField>
    <cacheField name="[Measures].[Sum of Total_Runs]" caption="Sum of Total_Runs" numFmtId="0" hierarchy="67" level="32767"/>
    <cacheField name="[fact_match].[Win_Type].[Win_Type]" caption="Win_Type" numFmtId="0" hierarchy="35" level="1">
      <sharedItems count="2">
        <s v="Win by runs"/>
        <s v="Win by wicket"/>
      </sharedItems>
    </cacheField>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302314818" backgroundQuery="1" createdVersion="8" refreshedVersion="8" minRefreshableVersion="3" recordCount="0" supportSubquery="1" supportAdvancedDrill="1" xr:uid="{9490BE74-F08B-4C1E-A1AA-F75CC323E3FA}">
  <cacheSource type="external" connectionId="9"/>
  <cacheFields count="3">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Measures].[PlayerRuns]" caption="PlayerRuns" numFmtId="0" hierarchy="54"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oneField="1">
      <fieldsUsage count="1">
        <fieldUsage x="1"/>
      </fieldsUsage>
    </cacheHierarchy>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304976851" backgroundQuery="1" createdVersion="8" refreshedVersion="8" minRefreshableVersion="3" recordCount="0" supportSubquery="1" supportAdvancedDrill="1" xr:uid="{ED2883B4-FCAE-4C5F-8DC8-A0352409651B}">
  <cacheSource type="external" connectionId="9"/>
  <cacheFields count="3">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Measures].[PlayerWickets]" caption="PlayerWickets" numFmtId="0" hierarchy="55"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oneField="1">
      <fieldsUsage count="1">
        <fieldUsage x="1"/>
      </fieldsUsage>
    </cacheHierarchy>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307870368" backgroundQuery="1" createdVersion="8" refreshedVersion="8" minRefreshableVersion="3" recordCount="0" supportSubquery="1" supportAdvancedDrill="1" xr:uid="{AE20DCED-202D-4EA3-BD9E-29E25AFA0558}">
  <cacheSource type="external" connectionId="9"/>
  <cacheFields count="4">
    <cacheField name="[dim_player].[Player_Name].[Player_Name]" caption="Player_Name" numFmtId="0" hierarchy="1" level="1">
      <sharedItems count="11">
        <s v="Abhishek Sharma"/>
        <s v="Andre Russell"/>
        <s v="Arshdeep Singh"/>
        <s v="David Warner"/>
        <s v="Heinrich Klaasen"/>
        <s v="Matheesha Pathirana"/>
        <s v="Rinku Singh"/>
        <s v="Sunil Narine"/>
        <s v="Varun Chakravarthy"/>
        <s v="Virat Kohli"/>
        <s v="Yuzvendra Chahal"/>
      </sharedItems>
    </cacheField>
    <cacheField name="[Measures].[Avgstrikearte]" caption="Avgstrikearte" numFmtId="0" hierarchy="56" level="32767"/>
    <cacheField name="[Measures].[Sum of Strike_Rate]" caption="Sum of Strike_Rate" numFmtId="0" hierarchy="73"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2.705310648147" backgroundQuery="1" createdVersion="8" refreshedVersion="8" minRefreshableVersion="3" recordCount="0" supportSubquery="1" supportAdvancedDrill="1" xr:uid="{C2430C11-42A3-40FC-B1E1-4D18110A5393}">
  <cacheSource type="external" connectionId="9"/>
  <cacheFields count="3">
    <cacheField name="[dim_player].[Player_Name].[Player_Name]" caption="Player_Name" numFmtId="0" hierarchy="1" level="1">
      <sharedItems count="19">
        <s v="Abhishek Sharma"/>
        <s v="Andre Russell"/>
        <s v="Arshdeep Singh"/>
        <s v="David Warner"/>
        <s v="Heinrich Klaasen"/>
        <s v="Matheesha Pathirana"/>
        <s v="Rinku Singh"/>
        <s v="Sunil Narine"/>
        <s v="Varun Chakravarthy"/>
        <s v="Virat Kohli"/>
        <s v="Yuzvendra Chahal"/>
        <s v="Daryl Mitchell" u="1"/>
        <s v="Deepak Chahar" u="1"/>
        <s v="Glenn Maxwell" u="1"/>
        <s v="Jasprit Bumrah" u="1"/>
        <s v="Jos Buttler" u="1"/>
        <s v="Liam Livingstone" u="1"/>
        <s v="Mitchell Marsh" u="1"/>
        <s v="Shivam Dube" u="1"/>
      </sharedItems>
    </cacheField>
    <cacheField name="[Measures].[Sum of Economy]" caption="Sum of Economy" numFmtId="0" hierarchy="72" level="32767"/>
    <cacheField name="[fact_match].[Venue_Name].[Venue_Name]" caption="Venue_Name" numFmtId="0" hierarchy="37"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WINNER]" caption="IS_HOME_WINNER" attribute="1" defaultMemberUniqueName="[fact_match].[IS_HOME_WINNER].[All]" allUniqueName="[fact_match].[IS_HOME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a Batra" refreshedDate="46081.845990046299" backgroundQuery="1" createdVersion="3" refreshedVersion="8" minRefreshableVersion="3" recordCount="0" supportSubquery="1" supportAdvancedDrill="1" xr:uid="{75AE8593-5F0E-4505-BD81-9648A13302B4}">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WINNER]" caption="IS_HOME_WINNER" attribute="1" defaultMemberUniqueName="[fact_match].[IS_HOME_WINNER].[All]" allUniqueName="[fact_match].[IS_HOME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Avgstrikearte]" caption="Avgstrikear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392920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868E2-CE45-4514-BFBF-0A441D575BDE}" name="PivotTable3" cacheId="26" applyNumberFormats="0" applyBorderFormats="0" applyFontFormats="0" applyPatternFormats="0" applyAlignmentFormats="0" applyWidthHeightFormats="1" dataCaption="Values" tag="27622bf9-2500-440d-b8ae-b693a710c557" updatedVersion="8" minRefreshableVersion="3" useAutoFormatting="1" subtotalHiddenItems="1" itemPrintTitles="1" createdVersion="8" indent="0" outline="1" outlineData="1" multipleFieldFilters="0" rowHeaderCaption="Team Names">
  <location ref="A3:E6"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Count of Match_ID" fld="1" subtotal="count" baseField="0" baseItem="0"/>
    <dataField name="Sum of Total_Runs" fld="2" baseField="0" baseItem="0"/>
    <dataField fld="3" subtotal="count" baseField="0" baseItem="0"/>
    <dataField fld="4"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6E678E-D8AE-4F34-8152-88F2AC997634}" name="PivotTable1" cacheId="23" applyNumberFormats="0" applyBorderFormats="0" applyFontFormats="0" applyPatternFormats="0" applyAlignmentFormats="0" applyWidthHeightFormats="1" dataCaption="Values" tag="27622bf9-2500-440d-b8ae-b693a710c557" updatedVersion="8" minRefreshableVersion="3" useAutoFormatting="1" subtotalHiddenItems="1" itemPrintTitles="1" createdVersion="8" indent="0" outline="1" outlineData="1" multipleFieldFilters="0" chartFormat="18" rowHeaderCaption="Team Names">
  <location ref="A27:B29"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Team_ID" fld="1" subtotal="count" baseField="0" baseItem="0"/>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989F98-DA2D-49B3-8140-86FE261607F1}" name="PivotTable6" cacheId="32" applyNumberFormats="0" applyBorderFormats="0" applyFontFormats="0" applyPatternFormats="0" applyAlignmentFormats="0" applyWidthHeightFormats="1" dataCaption="Values" tag="27622bf9-2500-440d-b8ae-b693a710c557" updatedVersion="8" minRefreshableVersion="3" useAutoFormatting="1" subtotalHiddenItems="1" itemPrintTitles="1" createdVersion="8" indent="0" outline="1" outlineData="1" multipleFieldFilters="0" chartFormat="22">
  <location ref="N3:O6"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pageFields count="1">
    <pageField fld="0" hier="9" name="[dim_team].[Team_Name].[All]" cap="All"/>
  </pageFields>
  <dataFields count="1">
    <dataField name="Sum of Total_Runs" fld="1" baseField="0" baseItem="0"/>
  </dataFields>
  <chartFormats count="7">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2" count="1" selected="0">
            <x v="0"/>
          </reference>
        </references>
      </pivotArea>
    </chartFormat>
    <chartFormat chart="21" format="8">
      <pivotArea type="data" outline="0" fieldPosition="0">
        <references count="2">
          <reference field="4294967294" count="1" selected="0">
            <x v="0"/>
          </reference>
          <reference field="2"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8452B4-2F66-4E15-80C1-E5FFEF0F7B04}" name="PivotTable5" cacheId="14" applyNumberFormats="0" applyBorderFormats="0" applyFontFormats="0" applyPatternFormats="0" applyAlignmentFormats="0" applyWidthHeightFormats="1" dataCaption="Values" tag="27622bf9-2500-440d-b8ae-b693a710c557" updatedVersion="8" minRefreshableVersion="3" useAutoFormatting="1" subtotalHiddenItems="1" itemPrintTitles="1" createdVersion="8" indent="0" outline="1" outlineData="1" multipleFieldFilters="0" chartFormat="18" rowHeaderCaption="Team Names">
  <location ref="K3:L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_Runs" fld="1" baseField="0" baseItem="0"/>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65181-D657-4036-823E-97DB0AA6C250}" name="PivotTable4" cacheId="29" applyNumberFormats="0" applyBorderFormats="0" applyFontFormats="0" applyPatternFormats="0" applyAlignmentFormats="0" applyWidthHeightFormats="1" dataCaption="Values" tag="27622bf9-2500-440d-b8ae-b693a710c557" updatedVersion="8" minRefreshableVersion="3" useAutoFormatting="1" subtotalHiddenItems="1" itemPrintTitles="1" createdVersion="8" indent="0" outline="1" outlineData="1" multipleFieldFilters="0" chartFormat="14" rowHeaderCaption="Team Names">
  <location ref="A16:B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A9FCA5-A14F-40B3-8E76-0A0D1C2978E6}" name="PivotTable5"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layer Names">
  <location ref="A110:B122" firstHeaderRow="1" firstDataRow="1" firstDataCol="1"/>
  <pivotFields count="3">
    <pivotField axis="axisRow" allDrilled="1" subtotalTop="0" showAll="0" dataSourceSort="1" defaultSubtotal="0" defaultAttributeDrillState="1">
      <items count="19">
        <item x="0" e="0"/>
        <item x="1" e="0"/>
        <item x="2" e="0"/>
        <item x="3" e="0"/>
        <item x="4" e="0"/>
        <item x="5" e="0"/>
        <item x="6" e="0"/>
        <item x="7" e="0"/>
        <item x="8" e="0"/>
        <item x="9" e="0"/>
        <item x="10" e="0"/>
        <item x="11" e="0"/>
        <item x="12" e="0"/>
        <item x="13" e="0"/>
        <item x="14" e="0"/>
        <item x="15" e="0"/>
        <item x="16" e="0"/>
        <item x="17" e="0"/>
        <item x="18" e="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Economy" fld="1" baseField="0" baseItem="0"/>
  </dataFields>
  <chartFormats count="22">
    <chartFormat chart="10" format="0" series="1">
      <pivotArea type="data" outline="0" fieldPosition="0">
        <references count="1">
          <reference field="4294967294" count="1" selected="0">
            <x v="0"/>
          </reference>
        </references>
      </pivotArea>
    </chartFormat>
    <chartFormat chart="12" format="69" series="1">
      <pivotArea type="data" outline="0" fieldPosition="0">
        <references count="1">
          <reference field="4294967294" count="1" selected="0">
            <x v="0"/>
          </reference>
        </references>
      </pivotArea>
    </chartFormat>
    <chartFormat chart="12" format="70">
      <pivotArea type="data" outline="0" fieldPosition="0">
        <references count="2">
          <reference field="4294967294" count="1" selected="0">
            <x v="0"/>
          </reference>
          <reference field="0" count="1" selected="0">
            <x v="11"/>
          </reference>
        </references>
      </pivotArea>
    </chartFormat>
    <chartFormat chart="12" format="71">
      <pivotArea type="data" outline="0" fieldPosition="0">
        <references count="2">
          <reference field="4294967294" count="1" selected="0">
            <x v="0"/>
          </reference>
          <reference field="0" count="1" selected="0">
            <x v="12"/>
          </reference>
        </references>
      </pivotArea>
    </chartFormat>
    <chartFormat chart="12" format="72">
      <pivotArea type="data" outline="0" fieldPosition="0">
        <references count="2">
          <reference field="4294967294" count="1" selected="0">
            <x v="0"/>
          </reference>
          <reference field="0" count="1" selected="0">
            <x v="13"/>
          </reference>
        </references>
      </pivotArea>
    </chartFormat>
    <chartFormat chart="12" format="73">
      <pivotArea type="data" outline="0" fieldPosition="0">
        <references count="2">
          <reference field="4294967294" count="1" selected="0">
            <x v="0"/>
          </reference>
          <reference field="0" count="1" selected="0">
            <x v="14"/>
          </reference>
        </references>
      </pivotArea>
    </chartFormat>
    <chartFormat chart="12" format="74">
      <pivotArea type="data" outline="0" fieldPosition="0">
        <references count="2">
          <reference field="4294967294" count="1" selected="0">
            <x v="0"/>
          </reference>
          <reference field="0" count="1" selected="0">
            <x v="15"/>
          </reference>
        </references>
      </pivotArea>
    </chartFormat>
    <chartFormat chart="12" format="75">
      <pivotArea type="data" outline="0" fieldPosition="0">
        <references count="2">
          <reference field="4294967294" count="1" selected="0">
            <x v="0"/>
          </reference>
          <reference field="0" count="1" selected="0">
            <x v="16"/>
          </reference>
        </references>
      </pivotArea>
    </chartFormat>
    <chartFormat chart="12" format="76">
      <pivotArea type="data" outline="0" fieldPosition="0">
        <references count="2">
          <reference field="4294967294" count="1" selected="0">
            <x v="0"/>
          </reference>
          <reference field="0" count="1" selected="0">
            <x v="17"/>
          </reference>
        </references>
      </pivotArea>
    </chartFormat>
    <chartFormat chart="12" format="77">
      <pivotArea type="data" outline="0" fieldPosition="0">
        <references count="2">
          <reference field="4294967294" count="1" selected="0">
            <x v="0"/>
          </reference>
          <reference field="0" count="1" selected="0">
            <x v="6"/>
          </reference>
        </references>
      </pivotArea>
    </chartFormat>
    <chartFormat chart="12" format="78">
      <pivotArea type="data" outline="0" fieldPosition="0">
        <references count="2">
          <reference field="4294967294" count="1" selected="0">
            <x v="0"/>
          </reference>
          <reference field="0" count="1" selected="0">
            <x v="18"/>
          </reference>
        </references>
      </pivotArea>
    </chartFormat>
    <chartFormat chart="12" format="79">
      <pivotArea type="data" outline="0" fieldPosition="0">
        <references count="2">
          <reference field="4294967294" count="1" selected="0">
            <x v="0"/>
          </reference>
          <reference field="0" count="1" selected="0">
            <x v="9"/>
          </reference>
        </references>
      </pivotArea>
    </chartFormat>
    <chartFormat chart="10" format="1">
      <pivotArea type="data" outline="0" fieldPosition="0">
        <references count="2">
          <reference field="4294967294" count="1" selected="0">
            <x v="0"/>
          </reference>
          <reference field="0" count="1" selected="0">
            <x v="11"/>
          </reference>
        </references>
      </pivotArea>
    </chartFormat>
    <chartFormat chart="10" format="2">
      <pivotArea type="data" outline="0" fieldPosition="0">
        <references count="2">
          <reference field="4294967294" count="1" selected="0">
            <x v="0"/>
          </reference>
          <reference field="0" count="1" selected="0">
            <x v="12"/>
          </reference>
        </references>
      </pivotArea>
    </chartFormat>
    <chartFormat chart="10" format="3">
      <pivotArea type="data" outline="0" fieldPosition="0">
        <references count="2">
          <reference field="4294967294" count="1" selected="0">
            <x v="0"/>
          </reference>
          <reference field="0" count="1" selected="0">
            <x v="13"/>
          </reference>
        </references>
      </pivotArea>
    </chartFormat>
    <chartFormat chart="10" format="4">
      <pivotArea type="data" outline="0" fieldPosition="0">
        <references count="2">
          <reference field="4294967294" count="1" selected="0">
            <x v="0"/>
          </reference>
          <reference field="0" count="1" selected="0">
            <x v="14"/>
          </reference>
        </references>
      </pivotArea>
    </chartFormat>
    <chartFormat chart="10" format="5">
      <pivotArea type="data" outline="0" fieldPosition="0">
        <references count="2">
          <reference field="4294967294" count="1" selected="0">
            <x v="0"/>
          </reference>
          <reference field="0" count="1" selected="0">
            <x v="15"/>
          </reference>
        </references>
      </pivotArea>
    </chartFormat>
    <chartFormat chart="10" format="6">
      <pivotArea type="data" outline="0" fieldPosition="0">
        <references count="2">
          <reference field="4294967294" count="1" selected="0">
            <x v="0"/>
          </reference>
          <reference field="0" count="1" selected="0">
            <x v="16"/>
          </reference>
        </references>
      </pivotArea>
    </chartFormat>
    <chartFormat chart="10" format="7">
      <pivotArea type="data" outline="0" fieldPosition="0">
        <references count="2">
          <reference field="4294967294" count="1" selected="0">
            <x v="0"/>
          </reference>
          <reference field="0" count="1" selected="0">
            <x v="17"/>
          </reference>
        </references>
      </pivotArea>
    </chartFormat>
    <chartFormat chart="10" format="8">
      <pivotArea type="data" outline="0" fieldPosition="0">
        <references count="2">
          <reference field="4294967294" count="1" selected="0">
            <x v="0"/>
          </reference>
          <reference field="0" count="1" selected="0">
            <x v="6"/>
          </reference>
        </references>
      </pivotArea>
    </chartFormat>
    <chartFormat chart="10" format="9">
      <pivotArea type="data" outline="0" fieldPosition="0">
        <references count="2">
          <reference field="4294967294" count="1" selected="0">
            <x v="0"/>
          </reference>
          <reference field="0" count="1" selected="0">
            <x v="18"/>
          </reference>
        </references>
      </pivotArea>
    </chartFormat>
    <chartFormat chart="10" format="10">
      <pivotArea type="data" outline="0" fieldPosition="0">
        <references count="2">
          <reference field="4294967294" count="1" selected="0">
            <x v="0"/>
          </reference>
          <reference field="0" count="1" selected="0">
            <x v="9"/>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_Conceded"/>
    <pivotHierarchy dragToData="1" caption=" Economy"/>
    <pivotHierarchy dragToData="1" caption="Strike_Rate"/>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1710FB-545A-41BF-B447-F0F6E0524847}" name="PivotTable4"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Player Names">
  <location ref="A75:C87" firstHeaderRow="0" firstDataRow="1" firstDataCol="1"/>
  <pivotFields count="4">
    <pivotField axis="axisRow" allDrilled="1" subtotalTop="0" showAll="0" defaultSubtotal="0" defaultAttributeDrillState="1">
      <items count="11">
        <item x="9"/>
        <item x="6"/>
        <item x="0"/>
        <item x="1"/>
        <item x="2"/>
        <item x="3"/>
        <item x="4"/>
        <item x="5"/>
        <item x="7"/>
        <item x="8"/>
        <item x="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1" subtotal="count" baseField="0" baseItem="0"/>
    <dataField name="Sum of Strike_Rate" fld="2" baseField="0" baseItem="0"/>
  </dataFields>
  <chartFormats count="6">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_Conceded"/>
    <pivotHierarchy dragToData="1" caption=" Economy"/>
    <pivotHierarchy dragToData="1" caption="Strike_Rate"/>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630931-0FD5-4168-9D9B-B47C6E7D2C75}" name="PivotTable3"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Player Names">
  <location ref="A39:B51"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3">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_Conceded"/>
    <pivotHierarchy dragToData="1" caption=" Economy"/>
    <pivotHierarchy dragToData="1" caption="Strike_Rate"/>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2CD644-F262-4E7F-A0FD-F9021A4B8163}" name="PivotTable1"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Player Names">
  <location ref="I3:J15"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_Conceded"/>
    <pivotHierarchy dragToData="1" caption=" Economy"/>
    <pivotHierarchy dragToData="1" caption="Strike_Rate"/>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5D631E-14D6-4C55-8371-1F1990D3F76F}" name="PivotTable2"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layer|Team|Role Names">
  <location ref="A3:G37" firstHeaderRow="0" firstDataRow="1" firstDataCol="1"/>
  <pivotFields count="10">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34">
    <i>
      <x/>
    </i>
    <i r="1">
      <x/>
    </i>
    <i r="2">
      <x/>
    </i>
    <i>
      <x v="1"/>
    </i>
    <i r="1">
      <x/>
    </i>
    <i r="2">
      <x v="1"/>
    </i>
    <i>
      <x v="2"/>
    </i>
    <i r="1">
      <x/>
    </i>
    <i r="2">
      <x v="2"/>
    </i>
    <i>
      <x v="3"/>
    </i>
    <i r="1">
      <x/>
    </i>
    <i r="2">
      <x/>
    </i>
    <i>
      <x v="4"/>
    </i>
    <i r="1">
      <x/>
    </i>
    <i r="2">
      <x v="3"/>
    </i>
    <i>
      <x v="5"/>
    </i>
    <i r="1">
      <x/>
    </i>
    <i r="2">
      <x v="2"/>
    </i>
    <i>
      <x v="6"/>
    </i>
    <i r="1">
      <x/>
    </i>
    <i r="2">
      <x/>
    </i>
    <i>
      <x v="7"/>
    </i>
    <i r="1">
      <x/>
    </i>
    <i r="2">
      <x v="1"/>
    </i>
    <i>
      <x v="8"/>
    </i>
    <i r="1">
      <x/>
    </i>
    <i r="2">
      <x v="2"/>
    </i>
    <i>
      <x v="9"/>
    </i>
    <i r="1">
      <x/>
    </i>
    <i r="2">
      <x/>
    </i>
    <i>
      <x v="10"/>
    </i>
    <i r="1">
      <x/>
    </i>
    <i r="2">
      <x v="2"/>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_Conceded" fld="6" baseField="0" baseItem="0"/>
    <dataField name=" Economy" fld="7" baseField="0" baseItem="0"/>
    <dataField name="Strike_Rate" fld="8"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_Conceded"/>
    <pivotHierarchy dragToData="1" caption=" Economy"/>
    <pivotHierarchy dragToData="1" caption="Strike_Rate"/>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CA936-A8BA-45ED-A8CB-6D7AE190717E}" name="PivotTable2" cacheId="20" applyNumberFormats="0" applyBorderFormats="0" applyFontFormats="0" applyPatternFormats="0" applyAlignmentFormats="0" applyWidthHeightFormats="1" dataCaption="Values" tag="21d4b26d-cdb7-48e1-8f4b-b928529e96d2" updatedVersion="8" minRefreshableVersion="3"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Eden Garde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SHBOARD PROJECT.xlsx!fact_match">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8" xr16:uid="{20E47985-7FAD-44D5-8504-EFB72EBDD5A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36D82A78-20A1-42DB-9843-843B32DAD5C7}"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00D02099-F581-45BB-ABAC-F4FAFA260953}"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A58453FC-8A12-4B78-A84D-5AEEC6EBF7ED}"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119554C2-83E0-4B6D-8500-7C07135EC3BC}"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464BE1-C3A1-4353-962F-CA7CB2267277}" autoFormatId="16" applyNumberFormats="0" applyBorderFormats="0" applyFontFormats="0" applyPatternFormats="0" applyAlignmentFormats="0" applyWidthHeightFormats="0">
  <queryTableRefresh nextId="22">
    <queryTableFields count="21">
      <queryTableField id="1" name="fact_match[Match_ID]" tableColumnId="1"/>
      <queryTableField id="2" name="fact_match[Date]" tableColumnId="2"/>
      <queryTableField id="3" name="fact_match[Venue_ID]" tableColumnId="3"/>
      <queryTableField id="4" name="fact_match[Team1_ID]" tableColumnId="4"/>
      <queryTableField id="5" name="fact_match[Team2_ID]" tableColumnId="5"/>
      <queryTableField id="6" name="fact_match[Toss_Winner]" tableColumnId="6"/>
      <queryTableField id="7" name="fact_match[Match_Winner]" tableColumnId="7"/>
      <queryTableField id="8" name="fact_match[Man_of_Match]" tableColumnId="8"/>
      <queryTableField id="9" name="fact_match[Team1_Runs]" tableColumnId="9"/>
      <queryTableField id="10" name="fact_match[Team2_Runs]" tableColumnId="10"/>
      <queryTableField id="11" name="fact_match[Team1_Wickets]" tableColumnId="11"/>
      <queryTableField id="12" name="fact_match[Team2_Wickets]" tableColumnId="12"/>
      <queryTableField id="13" name="fact_match[Overs_Team1]" tableColumnId="13"/>
      <queryTableField id="14" name="fact_match[Overs_Team2]" tableColumnId="14"/>
      <queryTableField id="15" name="fact_match[Total_Runs]" tableColumnId="15"/>
      <queryTableField id="16" name="fact_match[Win_Margin]" tableColumnId="16"/>
      <queryTableField id="17" name="fact_match[Win_Type]" tableColumnId="17"/>
      <queryTableField id="18" name="fact_match[Team1_Name]" tableColumnId="18"/>
      <queryTableField id="19" name="fact_match[Venue_Name]" tableColumnId="19"/>
      <queryTableField id="20" name="fact_match[Home_Team]" tableColumnId="20"/>
      <queryTableField id="21" name="fact_match[IS_HOME_WINNER]" tableColumnId="21"/>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410B07E-ED26-46D9-AF1C-A779F0CDC8DF}" autoFormatId="16" applyNumberFormats="0" applyBorderFormats="0" applyFontFormats="0" applyPatternFormats="0" applyAlignmentFormats="0" applyWidthHeightFormats="0">
  <queryTableRefresh nextId="22">
    <queryTableFields count="21">
      <queryTableField id="1" name="fact_match[Match_ID]" tableColumnId="1"/>
      <queryTableField id="2" name="fact_match[Date]" tableColumnId="2"/>
      <queryTableField id="3" name="fact_match[Venue_ID]" tableColumnId="3"/>
      <queryTableField id="4" name="fact_match[Team1_ID]" tableColumnId="4"/>
      <queryTableField id="5" name="fact_match[Team2_ID]" tableColumnId="5"/>
      <queryTableField id="6" name="fact_match[Toss_Winner]" tableColumnId="6"/>
      <queryTableField id="7" name="fact_match[Match_Winner]" tableColumnId="7"/>
      <queryTableField id="8" name="fact_match[Man_of_Match]" tableColumnId="8"/>
      <queryTableField id="9" name="fact_match[Team1_Runs]" tableColumnId="9"/>
      <queryTableField id="10" name="fact_match[Team2_Runs]" tableColumnId="10"/>
      <queryTableField id="11" name="fact_match[Team1_Wickets]" tableColumnId="11"/>
      <queryTableField id="12" name="fact_match[Team2_Wickets]" tableColumnId="12"/>
      <queryTableField id="13" name="fact_match[Overs_Team1]" tableColumnId="13"/>
      <queryTableField id="14" name="fact_match[Overs_Team2]" tableColumnId="14"/>
      <queryTableField id="15" name="fact_match[Total_Runs]" tableColumnId="15"/>
      <queryTableField id="16" name="fact_match[Win_Margin]" tableColumnId="16"/>
      <queryTableField id="17" name="fact_match[Win_Type]" tableColumnId="17"/>
      <queryTableField id="18" name="fact_match[Team1_Name]" tableColumnId="18"/>
      <queryTableField id="19" name="fact_match[Venue_Name]" tableColumnId="19"/>
      <queryTableField id="20" name="fact_match[Home_Team]" tableColumnId="20"/>
      <queryTableField id="21" name="fact_match[IS_HOME_WINNER]" tableColumnId="21"/>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388FF0F-9CA7-4817-BCFB-C51B6C02640F}" autoFormatId="16" applyNumberFormats="0" applyBorderFormats="0" applyFontFormats="0" applyPatternFormats="0" applyAlignmentFormats="0" applyWidthHeightFormats="0">
  <queryTableRefresh nextId="22">
    <queryTableFields count="21">
      <queryTableField id="1" name="fact_match[Match_ID]" tableColumnId="1"/>
      <queryTableField id="2" name="fact_match[Date]" tableColumnId="2"/>
      <queryTableField id="3" name="fact_match[Venue_ID]" tableColumnId="3"/>
      <queryTableField id="4" name="fact_match[Team1_ID]" tableColumnId="4"/>
      <queryTableField id="5" name="fact_match[Team2_ID]" tableColumnId="5"/>
      <queryTableField id="6" name="fact_match[Toss_Winner]" tableColumnId="6"/>
      <queryTableField id="7" name="fact_match[Match_Winner]" tableColumnId="7"/>
      <queryTableField id="8" name="fact_match[Man_of_Match]" tableColumnId="8"/>
      <queryTableField id="9" name="fact_match[Team1_Runs]" tableColumnId="9"/>
      <queryTableField id="10" name="fact_match[Team2_Runs]" tableColumnId="10"/>
      <queryTableField id="11" name="fact_match[Team1_Wickets]" tableColumnId="11"/>
      <queryTableField id="12" name="fact_match[Team2_Wickets]" tableColumnId="12"/>
      <queryTableField id="13" name="fact_match[Overs_Team1]" tableColumnId="13"/>
      <queryTableField id="14" name="fact_match[Overs_Team2]" tableColumnId="14"/>
      <queryTableField id="15" name="fact_match[Total_Runs]" tableColumnId="15"/>
      <queryTableField id="16" name="fact_match[Win_Margin]" tableColumnId="16"/>
      <queryTableField id="17" name="fact_match[Win_Type]" tableColumnId="17"/>
      <queryTableField id="18" name="fact_match[Team1_Name]" tableColumnId="18"/>
      <queryTableField id="19" name="fact_match[Venue_Name]" tableColumnId="19"/>
      <queryTableField id="20" name="fact_match[Home_Team]" tableColumnId="20"/>
      <queryTableField id="21" name="fact_match[IS_HOME_WINNER]" tableColumnId="2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8D5A5CC8-A164-49AC-9BFE-D20284A17590}" sourceName="[dim_team].[Team_Name]">
  <pivotTables>
    <pivotTable tabId="9" name="PivotTable5"/>
    <pivotTable tabId="11" name="PivotTable2"/>
    <pivotTable tabId="8" name="PivotTable2"/>
    <pivotTable tabId="9" name="PivotTable1"/>
    <pivotTable tabId="9" name="PivotTable3"/>
    <pivotTable tabId="9" name="PivotTable4"/>
    <pivotTable tabId="9" name="PivotTable6"/>
    <pivotTable tabId="11" name="PivotTable1"/>
    <pivotTable tabId="11" name="PivotTable3"/>
    <pivotTable tabId="11" name="PivotTable4"/>
    <pivotTable tabId="11" name="PivotTable5"/>
  </pivotTables>
  <data>
    <olap pivotCacheId="1739292069">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17875151-0F3F-4B16-AD9D-7D3C3D8F26ED}" sourceName="[fact_match].[Venue_Name]">
  <pivotTables>
    <pivotTable tabId="9" name="PivotTable5"/>
    <pivotTable tabId="11" name="PivotTable2"/>
    <pivotTable tabId="8" name="PivotTable2"/>
    <pivotTable tabId="9" name="PivotTable1"/>
    <pivotTable tabId="9" name="PivotTable3"/>
    <pivotTable tabId="9" name="PivotTable4"/>
    <pivotTable tabId="9" name="PivotTable6"/>
    <pivotTable tabId="11" name="PivotTable1"/>
    <pivotTable tabId="11" name="PivotTable3"/>
    <pivotTable tabId="11" name="PivotTable4"/>
    <pivotTable tabId="11" name="PivotTable5"/>
  </pivotTables>
  <data>
    <olap pivotCacheId="1739292069">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mp;[Eden Garde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D9A87BB7-B815-471C-86E6-6FF28A971E7F}" cache="Slicer_Venue_Name" caption="Venue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925D1DF4-4729-47D8-A3F1-0620253AB754}" cache="Slicer_Team_Name" caption="Team_Name" level="1" rowHeight="247650"/>
  <slicer name="Venue_Name" xr10:uid="{1D583B36-CF15-4E64-B9D0-EF09B506B6B1}" cache="Slicer_Venue_Name" caption="Venue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C6DBA6-A7B7-4951-8BA3-7591D3EBDE29}" name="fact_player" displayName="fact_player" ref="A1:K202" tableType="queryTable" totalsRowShown="0">
  <autoFilter ref="A1:K202" xr:uid="{01C6DBA6-A7B7-4951-8BA3-7591D3EBDE29}"/>
  <tableColumns count="11">
    <tableColumn id="1" xr3:uid="{DE215A53-8904-4F6D-A423-0CF3BF9F0F36}" uniqueName="1" name="Match_ID" queryTableFieldId="1" dataDxfId="29"/>
    <tableColumn id="2" xr3:uid="{4C3F5888-A9C8-419B-8159-8A237E618FBF}" uniqueName="2" name="Player_ID" queryTableFieldId="2" dataDxfId="28"/>
    <tableColumn id="3" xr3:uid="{A0AC5AE2-407D-4C0E-9AD7-056873CF06C1}" uniqueName="3" name="Runs" queryTableFieldId="3"/>
    <tableColumn id="4" xr3:uid="{3015A1F8-6AAA-48E4-9558-140011FE7E23}" uniqueName="4" name="Balls_Faced" queryTableFieldId="4"/>
    <tableColumn id="5" xr3:uid="{63C35C0B-BA22-4654-8AE8-201B27F17500}" uniqueName="5" name="Fours" queryTableFieldId="5"/>
    <tableColumn id="6" xr3:uid="{EA8C8D6F-55AA-497A-AC6E-A80CBD845633}" uniqueName="6" name="Sixes" queryTableFieldId="6"/>
    <tableColumn id="7" xr3:uid="{2892338D-F0B0-46C5-8C23-B4B134D833F3}" uniqueName="7" name="Strike_Rate" queryTableFieldId="7"/>
    <tableColumn id="8" xr3:uid="{D490BE63-750E-4D79-B95F-B3D9DD14E1A8}" uniqueName="8" name="Overs_Bowled" queryTableFieldId="8"/>
    <tableColumn id="9" xr3:uid="{9B4B6F27-ADCA-4CB1-A7B6-C1F554F77B5B}" uniqueName="9" name="Runs_Conceded" queryTableFieldId="9"/>
    <tableColumn id="10" xr3:uid="{2BF4B11D-CB70-4150-B532-27AE41E28292}" uniqueName="10" name="Wickets" queryTableFieldId="10"/>
    <tableColumn id="11" xr3:uid="{F4FD3C04-2D0B-4B17-B69B-44FED2798654}" uniqueName="11" name="Economy"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D5BC03-ECD2-41EC-AFE5-77E9C06261B6}" name="dim_venue" displayName="dim_venue" ref="A1:D11" tableType="queryTable" totalsRowShown="0">
  <autoFilter ref="A1:D11" xr:uid="{5FD5BC03-ECD2-41EC-AFE5-77E9C06261B6}"/>
  <tableColumns count="4">
    <tableColumn id="1" xr3:uid="{7F75C95C-E9F5-44CB-B6CF-C1E15FC0A34C}" uniqueName="1" name="Venue_ID" queryTableFieldId="1" dataDxfId="27"/>
    <tableColumn id="2" xr3:uid="{CCAD846A-E944-4FE9-A356-25F3CB576D07}" uniqueName="2" name="Venue_Name" queryTableFieldId="2" dataDxfId="26"/>
    <tableColumn id="3" xr3:uid="{AE2EB9F8-7AAD-42C1-94CA-CE4EE98B7CC0}" uniqueName="3" name="City" queryTableFieldId="3" dataDxfId="25"/>
    <tableColumn id="4" xr3:uid="{A36B0642-AFC2-43A7-BE4A-B6F6F76B3E3C}" uniqueName="4" name="Capacity"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474FA-43EB-440C-8E1D-7FFC7648A5F5}" name="fact_match" displayName="fact_match" ref="A1:N61" tableType="queryTable" totalsRowShown="0">
  <autoFilter ref="A1:N61" xr:uid="{254474FA-43EB-440C-8E1D-7FFC7648A5F5}"/>
  <tableColumns count="14">
    <tableColumn id="1" xr3:uid="{F9F05D55-92EE-40D5-B3FA-62967C601402}" uniqueName="1" name="Match_ID" queryTableFieldId="1" dataDxfId="24"/>
    <tableColumn id="2" xr3:uid="{742B0FA8-613C-4D76-A2F5-2C09B138A512}" uniqueName="2" name="Date" queryTableFieldId="2" dataDxfId="23"/>
    <tableColumn id="3" xr3:uid="{27236177-0256-4AB1-AA91-66D21D698B8D}" uniqueName="3" name="Venue_ID" queryTableFieldId="3" dataDxfId="22"/>
    <tableColumn id="4" xr3:uid="{36306D37-D5EC-453C-941B-1905D999B21F}" uniqueName="4" name="Team1_ID" queryTableFieldId="4" dataDxfId="21"/>
    <tableColumn id="5" xr3:uid="{8855123E-0751-4D13-B95F-896AF3D5EFF5}" uniqueName="5" name="Team2_ID" queryTableFieldId="5" dataDxfId="20"/>
    <tableColumn id="6" xr3:uid="{66755DE0-E825-4B90-AC87-A77C4CA69B9E}" uniqueName="6" name="Toss_Winner" queryTableFieldId="6" dataDxfId="19"/>
    <tableColumn id="7" xr3:uid="{77BD5E92-ACDF-49E3-8A6E-5F9DE0489C83}" uniqueName="7" name="Match_Winner" queryTableFieldId="7" dataDxfId="18"/>
    <tableColumn id="8" xr3:uid="{46B141B9-007F-49BF-AD6A-437CB36FA795}" uniqueName="8" name="Man_of_Match" queryTableFieldId="8" dataDxfId="17"/>
    <tableColumn id="9" xr3:uid="{65D43883-8783-45D8-8799-312E86A7E101}" uniqueName="9" name="Team1_Runs" queryTableFieldId="9"/>
    <tableColumn id="10" xr3:uid="{6800CCA9-9B8C-41B2-8E78-7EEC19A55E5C}" uniqueName="10" name="Team2_Runs" queryTableFieldId="10"/>
    <tableColumn id="11" xr3:uid="{577FA2D8-4B94-4476-B87F-4CEBC5810C09}" uniqueName="11" name="Team1_Wickets" queryTableFieldId="11"/>
    <tableColumn id="12" xr3:uid="{DC010A5D-0746-4B12-A201-75E18E25D7AD}" uniqueName="12" name="Team2_Wickets" queryTableFieldId="12"/>
    <tableColumn id="13" xr3:uid="{2DB303EB-2099-4E7E-8423-293D8870C82E}" uniqueName="13" name="Overs_Team1" queryTableFieldId="13"/>
    <tableColumn id="14" xr3:uid="{047446B7-7B0E-4C06-A187-1FB8F1CBCAEA}" uniqueName="14" name="Overs_Team2"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4696EF-23E0-4AC8-89B9-48EF08B23777}" name="dim_team" displayName="dim_team" ref="A1:G9" tableType="queryTable" totalsRowShown="0">
  <autoFilter ref="A1:G9" xr:uid="{594696EF-23E0-4AC8-89B9-48EF08B23777}"/>
  <tableColumns count="7">
    <tableColumn id="1" xr3:uid="{9DE43072-61BD-4BFB-B3D8-4CEDC48593AF}" uniqueName="1" name="Team_ID" queryTableFieldId="1" dataDxfId="16"/>
    <tableColumn id="2" xr3:uid="{FA3B1B88-BF6D-4503-B6A4-120C8D961C08}" uniqueName="2" name="Team_Name" queryTableFieldId="2" dataDxfId="15"/>
    <tableColumn id="3" xr3:uid="{914964D7-7226-4486-9115-5D428AFEC7DD}" uniqueName="3" name="Captain" queryTableFieldId="3" dataDxfId="14"/>
    <tableColumn id="4" xr3:uid="{B2291E26-9866-4CC5-93B5-196C7D176F57}" uniqueName="4" name="Coach" queryTableFieldId="4" dataDxfId="13"/>
    <tableColumn id="5" xr3:uid="{A8DD3F06-A98F-47BF-8C71-EE8484CCC121}" uniqueName="5" name="Home_Ground" queryTableFieldId="5" dataDxfId="12"/>
    <tableColumn id="6" xr3:uid="{9D83622A-FE3F-4D83-AFAF-183AA99448A1}" uniqueName="6" name="City" queryTableFieldId="6" dataDxfId="11"/>
    <tableColumn id="7" xr3:uid="{2B591909-2266-4B9A-9264-91DCF16B58BB}" uniqueName="7" name="Owner" queryTableFieldId="7" dataDxf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4BAD98-8C40-4167-911A-576E330DB6CA}" name="dim_player" displayName="dim_player" ref="A1:H34" tableType="queryTable" totalsRowShown="0">
  <autoFilter ref="A1:H34" xr:uid="{134BAD98-8C40-4167-911A-576E330DB6CA}"/>
  <tableColumns count="8">
    <tableColumn id="1" xr3:uid="{F56CD3C2-39AD-41A0-8FDB-DBA7DAA607DD}" uniqueName="1" name="Player_ID" queryTableFieldId="1" dataDxfId="9"/>
    <tableColumn id="2" xr3:uid="{7F2AB5E5-A5E4-473C-89CC-48F262B36103}" uniqueName="2" name="Player_Name" queryTableFieldId="2" dataDxfId="8"/>
    <tableColumn id="3" xr3:uid="{A7EED627-3D3A-472F-8769-5DCC7DF70C9A}" uniqueName="3" name="Team_ID" queryTableFieldId="3" dataDxfId="7"/>
    <tableColumn id="4" xr3:uid="{568EAC26-BFEE-4DC8-AE62-E31F451C708A}" uniqueName="4" name="Role" queryTableFieldId="4" dataDxfId="6"/>
    <tableColumn id="5" xr3:uid="{12232022-D8BA-4F5F-B84C-A7492FE5CEE6}" uniqueName="5" name="Nationality" queryTableFieldId="5" dataDxfId="5"/>
    <tableColumn id="6" xr3:uid="{7F347CE8-89BC-4F2B-903D-1A4FE5B25912}" uniqueName="6" name="Age" queryTableFieldId="6"/>
    <tableColumn id="7" xr3:uid="{F7AD4799-C050-4198-BF83-D98E9454B6AC}" uniqueName="7" name="Batting_Style" queryTableFieldId="7" dataDxfId="4"/>
    <tableColumn id="8" xr3:uid="{B6E70134-5E1F-45E9-ADD0-9457D44D4054}" uniqueName="8" name="Bowling_Style" queryTableFieldId="8"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87E059-C1BD-4B7F-B2F5-6F5DDE62C65E}" name="Table_ExternalData_1" displayName="Table_ExternalData_1" ref="A3:U11" tableType="queryTable" totalsRowShown="0">
  <autoFilter ref="A3:U11" xr:uid="{3C87E059-C1BD-4B7F-B2F5-6F5DDE62C65E}"/>
  <tableColumns count="21">
    <tableColumn id="1" xr3:uid="{95764534-1B65-442B-8F22-6BBB34E8F04B}" uniqueName="1" name="fact_match[Match_ID]" queryTableFieldId="1"/>
    <tableColumn id="2" xr3:uid="{106D93BB-2603-4CCC-B874-D16B0D54DBA9}" uniqueName="2" name="fact_match[Date]" queryTableFieldId="2" dataDxfId="2"/>
    <tableColumn id="3" xr3:uid="{C3DC3C29-6082-4ADD-AC69-DC5461C2298D}" uniqueName="3" name="fact_match[Venue_ID]" queryTableFieldId="3"/>
    <tableColumn id="4" xr3:uid="{3CEAFA76-BB99-4A05-8E26-DFA95EB85A5A}" uniqueName="4" name="fact_match[Team1_ID]" queryTableFieldId="4"/>
    <tableColumn id="5" xr3:uid="{9F5EC5C2-9603-41E5-958A-A02E4431B5D4}" uniqueName="5" name="fact_match[Team2_ID]" queryTableFieldId="5"/>
    <tableColumn id="6" xr3:uid="{701AF36A-82DD-44CF-BAF0-EB6C12CDD6CC}" uniqueName="6" name="fact_match[Toss_Winner]" queryTableFieldId="6"/>
    <tableColumn id="7" xr3:uid="{BAB45A94-7A5F-4AD1-8BD0-AA33D8FC58FA}" uniqueName="7" name="fact_match[Match_Winner]" queryTableFieldId="7"/>
    <tableColumn id="8" xr3:uid="{7E165382-D356-45E3-BA72-D03BA27BD647}" uniqueName="8" name="fact_match[Man_of_Match]" queryTableFieldId="8"/>
    <tableColumn id="9" xr3:uid="{5D3B76B0-4E10-4650-8235-0456D9A28626}" uniqueName="9" name="fact_match[Team1_Runs]" queryTableFieldId="9"/>
    <tableColumn id="10" xr3:uid="{0CEC10A6-F173-4B68-993D-A42049E60EBE}" uniqueName="10" name="fact_match[Team2_Runs]" queryTableFieldId="10"/>
    <tableColumn id="11" xr3:uid="{61A417BF-4C21-4ABF-80E6-27C4E3E70DDB}" uniqueName="11" name="fact_match[Team1_Wickets]" queryTableFieldId="11"/>
    <tableColumn id="12" xr3:uid="{98D3A641-A0A6-448B-B978-0DE4621AC3B8}" uniqueName="12" name="fact_match[Team2_Wickets]" queryTableFieldId="12"/>
    <tableColumn id="13" xr3:uid="{375E95BD-3317-49B3-A643-370835E3ACEA}" uniqueName="13" name="fact_match[Overs_Team1]" queryTableFieldId="13"/>
    <tableColumn id="14" xr3:uid="{A1A141C4-51A7-416D-A9BC-9965EF770D14}" uniqueName="14" name="fact_match[Overs_Team2]" queryTableFieldId="14"/>
    <tableColumn id="15" xr3:uid="{FE3C5AB4-AA2E-4C58-A4C2-C27D915B509E}" uniqueName="15" name="fact_match[Total_Runs]" queryTableFieldId="15"/>
    <tableColumn id="16" xr3:uid="{E26913F3-B40E-4901-A4BF-FA7305903858}" uniqueName="16" name="fact_match[Win_Margin]" queryTableFieldId="16"/>
    <tableColumn id="17" xr3:uid="{5BA79C13-BBAC-4836-A36F-779EFA08141E}" uniqueName="17" name="fact_match[Win_Type]" queryTableFieldId="17"/>
    <tableColumn id="18" xr3:uid="{6177DE2E-D9E6-40F6-B82C-CFBB64684C56}" uniqueName="18" name="fact_match[Team1_Name]" queryTableFieldId="18"/>
    <tableColumn id="19" xr3:uid="{B4AC254A-098D-40B4-AABE-361A9A2CB01D}" uniqueName="19" name="fact_match[Venue_Name]" queryTableFieldId="19"/>
    <tableColumn id="20" xr3:uid="{034ABE51-C7E3-410D-8DAE-D2BDFFC3AB42}" uniqueName="20" name="fact_match[Home_Team]" queryTableFieldId="20"/>
    <tableColumn id="21" xr3:uid="{D2D09B9B-B0D6-45F5-87DB-5A0F14579A21}" uniqueName="21" name="fact_match[IS_HOME_WINNER]" queryTableFieldId="2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EEECEC-313F-420A-AF1C-2A69506E70CA}" name="Table_ExternalData_18" displayName="Table_ExternalData_18" ref="A3:U63" tableType="queryTable" totalsRowShown="0">
  <autoFilter ref="A3:U63" xr:uid="{43EEECEC-313F-420A-AF1C-2A69506E70CA}"/>
  <tableColumns count="21">
    <tableColumn id="1" xr3:uid="{F03A1BBA-DF98-4A2F-9427-6FC476E51AE2}" uniqueName="1" name="fact_match[Match_ID]" queryTableFieldId="1"/>
    <tableColumn id="2" xr3:uid="{5115DF64-DE01-4032-814C-56E1F9526985}" uniqueName="2" name="fact_match[Date]" queryTableFieldId="2" dataDxfId="1"/>
    <tableColumn id="3" xr3:uid="{24468E1F-12F3-4319-A7F9-31681DA88525}" uniqueName="3" name="fact_match[Venue_ID]" queryTableFieldId="3"/>
    <tableColumn id="4" xr3:uid="{8A9DBE14-921F-4397-BE98-F29294BB6721}" uniqueName="4" name="fact_match[Team1_ID]" queryTableFieldId="4"/>
    <tableColumn id="5" xr3:uid="{101813AE-2035-41B1-B1E5-415C1DEAA7FD}" uniqueName="5" name="fact_match[Team2_ID]" queryTableFieldId="5"/>
    <tableColumn id="6" xr3:uid="{164F546E-9C2A-4FB6-B168-B34376DBA2C8}" uniqueName="6" name="fact_match[Toss_Winner]" queryTableFieldId="6"/>
    <tableColumn id="7" xr3:uid="{C6F2D146-5350-4814-952D-4393A07E65F1}" uniqueName="7" name="fact_match[Match_Winner]" queryTableFieldId="7"/>
    <tableColumn id="8" xr3:uid="{0D56F55F-C90E-42EC-B0CD-B2289F17A656}" uniqueName="8" name="fact_match[Man_of_Match]" queryTableFieldId="8"/>
    <tableColumn id="9" xr3:uid="{522CAD78-7E2C-433A-BFF4-6AE579097BB8}" uniqueName="9" name="fact_match[Team1_Runs]" queryTableFieldId="9"/>
    <tableColumn id="10" xr3:uid="{FD818E66-5792-4452-9FED-91EF2A21B7A7}" uniqueName="10" name="fact_match[Team2_Runs]" queryTableFieldId="10"/>
    <tableColumn id="11" xr3:uid="{95193E1F-AA52-4F2D-B09C-9999720868DC}" uniqueName="11" name="fact_match[Team1_Wickets]" queryTableFieldId="11"/>
    <tableColumn id="12" xr3:uid="{5195C0FC-C0FE-4B8C-92E6-16EF1B80EFCD}" uniqueName="12" name="fact_match[Team2_Wickets]" queryTableFieldId="12"/>
    <tableColumn id="13" xr3:uid="{935174D8-9A3B-49BB-90CC-63946A32E771}" uniqueName="13" name="fact_match[Overs_Team1]" queryTableFieldId="13"/>
    <tableColumn id="14" xr3:uid="{E77B7A54-259E-40F5-8E08-CF48C1E0A9C0}" uniqueName="14" name="fact_match[Overs_Team2]" queryTableFieldId="14"/>
    <tableColumn id="15" xr3:uid="{C68B0A7F-B522-4D44-87A1-67869D7FE3DC}" uniqueName="15" name="fact_match[Total_Runs]" queryTableFieldId="15"/>
    <tableColumn id="16" xr3:uid="{F0737190-1A0B-4490-B429-573CB7B091E4}" uniqueName="16" name="fact_match[Win_Margin]" queryTableFieldId="16"/>
    <tableColumn id="17" xr3:uid="{E099A42B-F2B2-4B3D-9A9D-2BDE81246074}" uniqueName="17" name="fact_match[Win_Type]" queryTableFieldId="17"/>
    <tableColumn id="18" xr3:uid="{77F11503-7664-490A-85A0-453D97C594E6}" uniqueName="18" name="fact_match[Team1_Name]" queryTableFieldId="18"/>
    <tableColumn id="19" xr3:uid="{81368BDB-02A9-420E-B59C-A6F711FE8EB8}" uniqueName="19" name="fact_match[Venue_Name]" queryTableFieldId="19"/>
    <tableColumn id="20" xr3:uid="{B86670DA-FB52-4469-A820-5655A8EC1EC6}" uniqueName="20" name="fact_match[Home_Team]" queryTableFieldId="20"/>
    <tableColumn id="21" xr3:uid="{4F7B14B4-DBF2-400F-B8BD-72317937EBFF}" uniqueName="21" name="fact_match[IS_HOME_WINNER]" queryTableFieldId="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C254DAA-157C-42FA-9739-71DD123C6DE6}" name="Table_ExternalData_19" displayName="Table_ExternalData_19" ref="A3:U63" tableType="queryTable" totalsRowShown="0">
  <autoFilter ref="A3:U63" xr:uid="{9C254DAA-157C-42FA-9739-71DD123C6DE6}"/>
  <tableColumns count="21">
    <tableColumn id="1" xr3:uid="{00CABB47-5A98-4D7A-9152-2162A710301D}" uniqueName="1" name="fact_match[Match_ID]" queryTableFieldId="1"/>
    <tableColumn id="2" xr3:uid="{8CA89944-20C2-47EE-A608-0F829A3976C0}" uniqueName="2" name="fact_match[Date]" queryTableFieldId="2" dataDxfId="0"/>
    <tableColumn id="3" xr3:uid="{0FDD657F-72C2-47B6-ADBF-4E89D7808EBA}" uniqueName="3" name="fact_match[Venue_ID]" queryTableFieldId="3"/>
    <tableColumn id="4" xr3:uid="{7F03A4B7-1DCD-4697-B2AC-C54F407FC26D}" uniqueName="4" name="fact_match[Team1_ID]" queryTableFieldId="4"/>
    <tableColumn id="5" xr3:uid="{0918EF80-1BDD-4E54-B930-5A782B506253}" uniqueName="5" name="fact_match[Team2_ID]" queryTableFieldId="5"/>
    <tableColumn id="6" xr3:uid="{703C4220-F42D-4BD2-9C8C-265F56FC252C}" uniqueName="6" name="fact_match[Toss_Winner]" queryTableFieldId="6"/>
    <tableColumn id="7" xr3:uid="{F6947582-790F-4A8E-A537-E3E1EDCB7812}" uniqueName="7" name="fact_match[Match_Winner]" queryTableFieldId="7"/>
    <tableColumn id="8" xr3:uid="{45975E82-8417-457A-BD8A-717ABE49CBDB}" uniqueName="8" name="fact_match[Man_of_Match]" queryTableFieldId="8"/>
    <tableColumn id="9" xr3:uid="{B925E08F-6F1A-4B51-9410-8D461861CF8A}" uniqueName="9" name="fact_match[Team1_Runs]" queryTableFieldId="9"/>
    <tableColumn id="10" xr3:uid="{EA8764DD-D165-4105-9BD7-DA935736D549}" uniqueName="10" name="fact_match[Team2_Runs]" queryTableFieldId="10"/>
    <tableColumn id="11" xr3:uid="{71CB9E1B-14F0-47F6-B749-F30C2C33DFAA}" uniqueName="11" name="fact_match[Team1_Wickets]" queryTableFieldId="11"/>
    <tableColumn id="12" xr3:uid="{71D1986B-F995-458A-A203-A8E0FB9FFAC3}" uniqueName="12" name="fact_match[Team2_Wickets]" queryTableFieldId="12"/>
    <tableColumn id="13" xr3:uid="{EF57E6DC-3991-4F32-AAB8-6CF990443A18}" uniqueName="13" name="fact_match[Overs_Team1]" queryTableFieldId="13"/>
    <tableColumn id="14" xr3:uid="{ACBDCEF4-748D-4443-B6FC-87D56B97CBA9}" uniqueName="14" name="fact_match[Overs_Team2]" queryTableFieldId="14"/>
    <tableColumn id="15" xr3:uid="{B986969F-10C8-48FD-9C53-34B372B1E7FF}" uniqueName="15" name="fact_match[Total_Runs]" queryTableFieldId="15"/>
    <tableColumn id="16" xr3:uid="{1B08ED83-5AF0-4297-9B4F-02C3C3C62411}" uniqueName="16" name="fact_match[Win_Margin]" queryTableFieldId="16"/>
    <tableColumn id="17" xr3:uid="{B56170F5-F266-4A99-AF0C-8593C6F8C477}" uniqueName="17" name="fact_match[Win_Type]" queryTableFieldId="17"/>
    <tableColumn id="18" xr3:uid="{D28E6EC0-3A1A-4BD6-8AED-6C2750B9AC66}" uniqueName="18" name="fact_match[Team1_Name]" queryTableFieldId="18"/>
    <tableColumn id="19" xr3:uid="{A2BD4E1E-77D8-4D9F-BB88-404995060AF3}" uniqueName="19" name="fact_match[Venue_Name]" queryTableFieldId="19"/>
    <tableColumn id="20" xr3:uid="{FFB3264F-7F76-4D7C-BE94-3D11C0C53F15}" uniqueName="20" name="fact_match[Home_Team]" queryTableFieldId="20"/>
    <tableColumn id="21" xr3:uid="{C627FEDC-B0AE-4C84-B5BA-61A68F777D42}" uniqueName="21" name="fact_match[IS_HOME_WINNER]"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1A63-C583-4226-8241-734A649CBBC8}">
  <dimension ref="A1:K202"/>
  <sheetViews>
    <sheetView workbookViewId="0"/>
  </sheetViews>
  <sheetFormatPr defaultRowHeight="14.4" x14ac:dyDescent="0.3"/>
  <cols>
    <col min="1" max="1" width="10.88671875" bestFit="1" customWidth="1"/>
    <col min="2" max="2" width="11" bestFit="1" customWidth="1"/>
    <col min="3" max="3" width="7.21875" bestFit="1" customWidth="1"/>
    <col min="4" max="4" width="13.21875" bestFit="1" customWidth="1"/>
    <col min="5" max="5" width="7.77734375" bestFit="1" customWidth="1"/>
    <col min="6" max="6" width="7.6640625" bestFit="1" customWidth="1"/>
    <col min="7" max="7" width="12.77734375" bestFit="1" customWidth="1"/>
    <col min="8" max="8" width="14.88671875" bestFit="1" customWidth="1"/>
    <col min="9" max="9" width="16.5546875" bestFit="1" customWidth="1"/>
    <col min="10" max="10" width="10" bestFit="1" customWidth="1"/>
    <col min="11" max="11" width="10.77734375" bestFit="1" customWidth="1"/>
  </cols>
  <sheetData>
    <row r="1" spans="1:11" x14ac:dyDescent="0.3">
      <c r="A1" t="s">
        <v>159</v>
      </c>
      <c r="B1" t="s">
        <v>0</v>
      </c>
      <c r="C1" t="s">
        <v>249</v>
      </c>
      <c r="D1" t="s">
        <v>250</v>
      </c>
      <c r="E1" t="s">
        <v>251</v>
      </c>
      <c r="F1" t="s">
        <v>252</v>
      </c>
      <c r="G1" t="s">
        <v>253</v>
      </c>
      <c r="H1" t="s">
        <v>254</v>
      </c>
      <c r="I1" t="s">
        <v>255</v>
      </c>
      <c r="J1" t="s">
        <v>256</v>
      </c>
      <c r="K1" t="s">
        <v>257</v>
      </c>
    </row>
    <row r="2" spans="1:11" x14ac:dyDescent="0.3">
      <c r="A2" t="s">
        <v>173</v>
      </c>
      <c r="B2" t="s">
        <v>30</v>
      </c>
      <c r="C2">
        <v>58</v>
      </c>
      <c r="D2">
        <v>32</v>
      </c>
      <c r="E2">
        <v>6</v>
      </c>
      <c r="F2">
        <v>3</v>
      </c>
      <c r="G2">
        <v>181.25</v>
      </c>
      <c r="H2">
        <v>0</v>
      </c>
      <c r="I2">
        <v>0</v>
      </c>
      <c r="J2">
        <v>0</v>
      </c>
      <c r="K2">
        <v>0</v>
      </c>
    </row>
    <row r="3" spans="1:11" x14ac:dyDescent="0.3">
      <c r="A3" t="s">
        <v>173</v>
      </c>
      <c r="B3" t="s">
        <v>42</v>
      </c>
      <c r="C3">
        <v>72</v>
      </c>
      <c r="D3">
        <v>50</v>
      </c>
      <c r="E3">
        <v>5</v>
      </c>
      <c r="F3">
        <v>2</v>
      </c>
      <c r="G3">
        <v>144</v>
      </c>
      <c r="H3">
        <v>0</v>
      </c>
      <c r="I3">
        <v>0</v>
      </c>
      <c r="J3">
        <v>0</v>
      </c>
      <c r="K3">
        <v>0</v>
      </c>
    </row>
    <row r="4" spans="1:11" x14ac:dyDescent="0.3">
      <c r="A4" t="s">
        <v>173</v>
      </c>
      <c r="B4" t="s">
        <v>47</v>
      </c>
      <c r="C4">
        <v>0</v>
      </c>
      <c r="D4">
        <v>0</v>
      </c>
      <c r="E4">
        <v>0</v>
      </c>
      <c r="F4">
        <v>0</v>
      </c>
      <c r="G4">
        <v>0</v>
      </c>
      <c r="H4">
        <v>4</v>
      </c>
      <c r="I4">
        <v>28</v>
      </c>
      <c r="J4">
        <v>2</v>
      </c>
      <c r="K4">
        <v>7</v>
      </c>
    </row>
    <row r="5" spans="1:11" x14ac:dyDescent="0.3">
      <c r="A5" t="s">
        <v>175</v>
      </c>
      <c r="B5" t="s">
        <v>103</v>
      </c>
      <c r="C5">
        <v>95</v>
      </c>
      <c r="D5">
        <v>58</v>
      </c>
      <c r="E5">
        <v>10</v>
      </c>
      <c r="F5">
        <v>4</v>
      </c>
      <c r="G5">
        <v>163.79</v>
      </c>
      <c r="H5">
        <v>0</v>
      </c>
      <c r="I5">
        <v>0</v>
      </c>
      <c r="J5">
        <v>0</v>
      </c>
      <c r="K5">
        <v>0</v>
      </c>
    </row>
    <row r="6" spans="1:11" x14ac:dyDescent="0.3">
      <c r="A6" t="s">
        <v>175</v>
      </c>
      <c r="B6" t="s">
        <v>63</v>
      </c>
      <c r="C6">
        <v>45</v>
      </c>
      <c r="D6">
        <v>35</v>
      </c>
      <c r="E6">
        <v>4</v>
      </c>
      <c r="F6">
        <v>1</v>
      </c>
      <c r="G6">
        <v>128.57</v>
      </c>
      <c r="H6">
        <v>0</v>
      </c>
      <c r="I6">
        <v>0</v>
      </c>
      <c r="J6">
        <v>0</v>
      </c>
      <c r="K6">
        <v>0</v>
      </c>
    </row>
    <row r="7" spans="1:11" x14ac:dyDescent="0.3">
      <c r="A7" t="s">
        <v>177</v>
      </c>
      <c r="B7" t="s">
        <v>55</v>
      </c>
      <c r="C7">
        <v>34</v>
      </c>
      <c r="D7">
        <v>18</v>
      </c>
      <c r="E7">
        <v>2</v>
      </c>
      <c r="F7">
        <v>3</v>
      </c>
      <c r="G7">
        <v>188.89</v>
      </c>
      <c r="H7">
        <v>4</v>
      </c>
      <c r="I7">
        <v>38</v>
      </c>
      <c r="J7">
        <v>3</v>
      </c>
      <c r="K7">
        <v>9.5</v>
      </c>
    </row>
    <row r="8" spans="1:11" x14ac:dyDescent="0.3">
      <c r="A8" t="s">
        <v>177</v>
      </c>
      <c r="B8" t="s">
        <v>88</v>
      </c>
      <c r="C8">
        <v>0</v>
      </c>
      <c r="D8">
        <v>0</v>
      </c>
      <c r="E8">
        <v>0</v>
      </c>
      <c r="F8">
        <v>0</v>
      </c>
      <c r="G8">
        <v>0</v>
      </c>
      <c r="H8">
        <v>4</v>
      </c>
      <c r="I8">
        <v>30</v>
      </c>
      <c r="J8">
        <v>2</v>
      </c>
      <c r="K8">
        <v>7.5</v>
      </c>
    </row>
    <row r="9" spans="1:11" x14ac:dyDescent="0.3">
      <c r="A9" t="s">
        <v>179</v>
      </c>
      <c r="B9" t="s">
        <v>74</v>
      </c>
      <c r="C9">
        <v>65</v>
      </c>
      <c r="D9">
        <v>40</v>
      </c>
      <c r="E9">
        <v>7</v>
      </c>
      <c r="F9">
        <v>2</v>
      </c>
      <c r="G9">
        <v>162.5</v>
      </c>
      <c r="H9">
        <v>0</v>
      </c>
      <c r="I9">
        <v>0</v>
      </c>
      <c r="J9">
        <v>0</v>
      </c>
      <c r="K9">
        <v>0</v>
      </c>
    </row>
    <row r="10" spans="1:11" x14ac:dyDescent="0.3">
      <c r="A10" t="s">
        <v>179</v>
      </c>
      <c r="B10" t="s">
        <v>15</v>
      </c>
      <c r="C10">
        <v>0</v>
      </c>
      <c r="D10">
        <v>0</v>
      </c>
      <c r="E10">
        <v>0</v>
      </c>
      <c r="F10">
        <v>0</v>
      </c>
      <c r="G10">
        <v>0</v>
      </c>
      <c r="H10">
        <v>3.2</v>
      </c>
      <c r="I10">
        <v>25</v>
      </c>
      <c r="J10">
        <v>3</v>
      </c>
      <c r="K10">
        <v>7.5</v>
      </c>
    </row>
    <row r="11" spans="1:11" x14ac:dyDescent="0.3">
      <c r="A11" t="s">
        <v>181</v>
      </c>
      <c r="B11" t="s">
        <v>83</v>
      </c>
      <c r="C11">
        <v>88</v>
      </c>
      <c r="D11">
        <v>52</v>
      </c>
      <c r="E11">
        <v>8</v>
      </c>
      <c r="F11">
        <v>3</v>
      </c>
      <c r="G11">
        <v>169.23</v>
      </c>
      <c r="H11">
        <v>0</v>
      </c>
      <c r="I11">
        <v>0</v>
      </c>
      <c r="J11">
        <v>0</v>
      </c>
      <c r="K11">
        <v>0</v>
      </c>
    </row>
    <row r="12" spans="1:11" x14ac:dyDescent="0.3">
      <c r="A12" t="s">
        <v>181</v>
      </c>
      <c r="B12" t="s">
        <v>42</v>
      </c>
      <c r="C12">
        <v>5</v>
      </c>
      <c r="D12">
        <v>7</v>
      </c>
      <c r="E12">
        <v>0</v>
      </c>
      <c r="F12">
        <v>0</v>
      </c>
      <c r="G12">
        <v>71.430000000000007</v>
      </c>
      <c r="H12">
        <v>0</v>
      </c>
      <c r="I12">
        <v>0</v>
      </c>
      <c r="J12">
        <v>0</v>
      </c>
      <c r="K12">
        <v>0</v>
      </c>
    </row>
    <row r="13" spans="1:11" x14ac:dyDescent="0.3">
      <c r="A13" t="s">
        <v>183</v>
      </c>
      <c r="B13" t="s">
        <v>58</v>
      </c>
      <c r="C13">
        <v>18</v>
      </c>
      <c r="D13">
        <v>10</v>
      </c>
      <c r="E13">
        <v>1</v>
      </c>
      <c r="F13">
        <v>1</v>
      </c>
      <c r="G13">
        <v>180</v>
      </c>
      <c r="H13">
        <v>4</v>
      </c>
      <c r="I13">
        <v>22</v>
      </c>
      <c r="J13">
        <v>2</v>
      </c>
      <c r="K13">
        <v>5.5</v>
      </c>
    </row>
    <row r="14" spans="1:11" x14ac:dyDescent="0.3">
      <c r="A14" t="s">
        <v>183</v>
      </c>
      <c r="B14" t="s">
        <v>66</v>
      </c>
      <c r="C14">
        <v>0</v>
      </c>
      <c r="D14">
        <v>0</v>
      </c>
      <c r="E14">
        <v>0</v>
      </c>
      <c r="F14">
        <v>0</v>
      </c>
      <c r="G14">
        <v>0</v>
      </c>
      <c r="H14">
        <v>4</v>
      </c>
      <c r="I14">
        <v>25</v>
      </c>
      <c r="J14">
        <v>1</v>
      </c>
      <c r="K14">
        <v>6.25</v>
      </c>
    </row>
    <row r="15" spans="1:11" x14ac:dyDescent="0.3">
      <c r="A15" t="s">
        <v>185</v>
      </c>
      <c r="B15" t="s">
        <v>33</v>
      </c>
      <c r="C15">
        <v>0</v>
      </c>
      <c r="D15">
        <v>0</v>
      </c>
      <c r="E15">
        <v>0</v>
      </c>
      <c r="F15">
        <v>0</v>
      </c>
      <c r="G15">
        <v>0</v>
      </c>
      <c r="H15">
        <v>4</v>
      </c>
      <c r="I15">
        <v>24</v>
      </c>
      <c r="J15">
        <v>3</v>
      </c>
      <c r="K15">
        <v>6</v>
      </c>
    </row>
    <row r="16" spans="1:11" x14ac:dyDescent="0.3">
      <c r="A16" t="s">
        <v>185</v>
      </c>
      <c r="B16" t="s">
        <v>85</v>
      </c>
      <c r="C16">
        <v>35</v>
      </c>
      <c r="D16">
        <v>25</v>
      </c>
      <c r="E16">
        <v>2</v>
      </c>
      <c r="F16">
        <v>2</v>
      </c>
      <c r="G16">
        <v>140</v>
      </c>
      <c r="H16">
        <v>0</v>
      </c>
      <c r="I16">
        <v>0</v>
      </c>
      <c r="J16">
        <v>0</v>
      </c>
      <c r="K16">
        <v>0</v>
      </c>
    </row>
    <row r="17" spans="1:11" x14ac:dyDescent="0.3">
      <c r="A17" t="s">
        <v>186</v>
      </c>
      <c r="B17" t="s">
        <v>101</v>
      </c>
      <c r="C17">
        <v>56</v>
      </c>
      <c r="D17">
        <v>28</v>
      </c>
      <c r="E17">
        <v>3</v>
      </c>
      <c r="F17">
        <v>5</v>
      </c>
      <c r="G17">
        <v>200</v>
      </c>
      <c r="H17">
        <v>0</v>
      </c>
      <c r="I17">
        <v>0</v>
      </c>
      <c r="J17">
        <v>0</v>
      </c>
      <c r="K17">
        <v>0</v>
      </c>
    </row>
    <row r="18" spans="1:11" x14ac:dyDescent="0.3">
      <c r="A18" t="s">
        <v>186</v>
      </c>
      <c r="B18" t="s">
        <v>24</v>
      </c>
      <c r="C18">
        <v>22</v>
      </c>
      <c r="D18">
        <v>19</v>
      </c>
      <c r="E18">
        <v>1</v>
      </c>
      <c r="F18">
        <v>0</v>
      </c>
      <c r="G18">
        <v>115.79</v>
      </c>
      <c r="H18">
        <v>0</v>
      </c>
      <c r="I18">
        <v>0</v>
      </c>
      <c r="J18">
        <v>0</v>
      </c>
      <c r="K18">
        <v>0</v>
      </c>
    </row>
    <row r="19" spans="1:11" x14ac:dyDescent="0.3">
      <c r="A19" t="s">
        <v>188</v>
      </c>
      <c r="B19" t="s">
        <v>60</v>
      </c>
      <c r="C19">
        <v>0</v>
      </c>
      <c r="D19">
        <v>0</v>
      </c>
      <c r="E19">
        <v>0</v>
      </c>
      <c r="F19">
        <v>0</v>
      </c>
      <c r="G19">
        <v>0</v>
      </c>
      <c r="H19">
        <v>3.3</v>
      </c>
      <c r="I19">
        <v>19</v>
      </c>
      <c r="J19">
        <v>4</v>
      </c>
      <c r="K19">
        <v>5.43</v>
      </c>
    </row>
    <row r="20" spans="1:11" x14ac:dyDescent="0.3">
      <c r="A20" t="s">
        <v>188</v>
      </c>
      <c r="B20" t="s">
        <v>42</v>
      </c>
      <c r="C20">
        <v>40</v>
      </c>
      <c r="D20">
        <v>30</v>
      </c>
      <c r="E20">
        <v>3</v>
      </c>
      <c r="F20">
        <v>1</v>
      </c>
      <c r="G20">
        <v>133.33000000000001</v>
      </c>
      <c r="H20">
        <v>0</v>
      </c>
      <c r="I20">
        <v>0</v>
      </c>
      <c r="J20">
        <v>0</v>
      </c>
      <c r="K20">
        <v>0</v>
      </c>
    </row>
    <row r="21" spans="1:11" x14ac:dyDescent="0.3">
      <c r="A21" t="s">
        <v>189</v>
      </c>
      <c r="B21" t="s">
        <v>66</v>
      </c>
      <c r="C21">
        <v>0</v>
      </c>
      <c r="D21">
        <v>0</v>
      </c>
      <c r="E21">
        <v>0</v>
      </c>
      <c r="F21">
        <v>0</v>
      </c>
      <c r="G21">
        <v>0</v>
      </c>
      <c r="H21">
        <v>4</v>
      </c>
      <c r="I21">
        <v>17</v>
      </c>
      <c r="J21">
        <v>2</v>
      </c>
      <c r="K21">
        <v>4.25</v>
      </c>
    </row>
    <row r="22" spans="1:11" x14ac:dyDescent="0.3">
      <c r="A22" t="s">
        <v>189</v>
      </c>
      <c r="B22" t="s">
        <v>83</v>
      </c>
      <c r="C22">
        <v>12</v>
      </c>
      <c r="D22">
        <v>14</v>
      </c>
      <c r="E22">
        <v>1</v>
      </c>
      <c r="F22">
        <v>0</v>
      </c>
      <c r="G22">
        <v>85.71</v>
      </c>
      <c r="H22">
        <v>0</v>
      </c>
      <c r="I22">
        <v>0</v>
      </c>
      <c r="J22">
        <v>0</v>
      </c>
      <c r="K22">
        <v>0</v>
      </c>
    </row>
    <row r="23" spans="1:11" x14ac:dyDescent="0.3">
      <c r="A23" t="s">
        <v>190</v>
      </c>
      <c r="B23" t="s">
        <v>85</v>
      </c>
      <c r="C23">
        <v>75</v>
      </c>
      <c r="D23">
        <v>45</v>
      </c>
      <c r="E23">
        <v>5</v>
      </c>
      <c r="F23">
        <v>4</v>
      </c>
      <c r="G23">
        <v>166.67</v>
      </c>
      <c r="H23">
        <v>0</v>
      </c>
      <c r="I23">
        <v>0</v>
      </c>
      <c r="J23">
        <v>0</v>
      </c>
      <c r="K23">
        <v>0</v>
      </c>
    </row>
    <row r="24" spans="1:11" x14ac:dyDescent="0.3">
      <c r="A24" t="s">
        <v>190</v>
      </c>
      <c r="B24" t="s">
        <v>27</v>
      </c>
      <c r="C24">
        <v>25</v>
      </c>
      <c r="D24">
        <v>18</v>
      </c>
      <c r="E24">
        <v>1</v>
      </c>
      <c r="F24">
        <v>1</v>
      </c>
      <c r="G24">
        <v>138.88999999999999</v>
      </c>
      <c r="H24">
        <v>4</v>
      </c>
      <c r="I24">
        <v>35</v>
      </c>
      <c r="J24">
        <v>1</v>
      </c>
      <c r="K24">
        <v>8.75</v>
      </c>
    </row>
    <row r="25" spans="1:11" x14ac:dyDescent="0.3">
      <c r="A25" t="s">
        <v>192</v>
      </c>
      <c r="B25" t="s">
        <v>36</v>
      </c>
      <c r="C25">
        <v>48</v>
      </c>
      <c r="D25">
        <v>32</v>
      </c>
      <c r="E25">
        <v>4</v>
      </c>
      <c r="F25">
        <v>1</v>
      </c>
      <c r="G25">
        <v>150</v>
      </c>
      <c r="H25">
        <v>0</v>
      </c>
      <c r="I25">
        <v>0</v>
      </c>
      <c r="J25">
        <v>0</v>
      </c>
      <c r="K25">
        <v>0</v>
      </c>
    </row>
    <row r="26" spans="1:11" x14ac:dyDescent="0.3">
      <c r="A26" t="s">
        <v>192</v>
      </c>
      <c r="B26" t="s">
        <v>99</v>
      </c>
      <c r="C26">
        <v>0</v>
      </c>
      <c r="D26">
        <v>0</v>
      </c>
      <c r="E26">
        <v>0</v>
      </c>
      <c r="F26">
        <v>0</v>
      </c>
      <c r="G26">
        <v>0</v>
      </c>
      <c r="H26">
        <v>4</v>
      </c>
      <c r="I26">
        <v>30</v>
      </c>
      <c r="J26">
        <v>2</v>
      </c>
      <c r="K26">
        <v>7.5</v>
      </c>
    </row>
    <row r="27" spans="1:11" x14ac:dyDescent="0.3">
      <c r="A27" t="s">
        <v>193</v>
      </c>
      <c r="B27" t="s">
        <v>42</v>
      </c>
      <c r="C27">
        <v>105</v>
      </c>
      <c r="D27">
        <v>60</v>
      </c>
      <c r="E27">
        <v>12</v>
      </c>
      <c r="F27">
        <v>3</v>
      </c>
      <c r="G27">
        <v>175</v>
      </c>
      <c r="H27">
        <v>0</v>
      </c>
      <c r="I27">
        <v>0</v>
      </c>
      <c r="J27">
        <v>0</v>
      </c>
      <c r="K27">
        <v>0</v>
      </c>
    </row>
    <row r="28" spans="1:11" x14ac:dyDescent="0.3">
      <c r="A28" t="s">
        <v>193</v>
      </c>
      <c r="B28" t="s">
        <v>69</v>
      </c>
      <c r="C28">
        <v>0</v>
      </c>
      <c r="D28">
        <v>0</v>
      </c>
      <c r="E28">
        <v>0</v>
      </c>
      <c r="F28">
        <v>0</v>
      </c>
      <c r="G28">
        <v>0</v>
      </c>
      <c r="H28">
        <v>4</v>
      </c>
      <c r="I28">
        <v>40</v>
      </c>
      <c r="J28">
        <v>1</v>
      </c>
      <c r="K28">
        <v>10</v>
      </c>
    </row>
    <row r="29" spans="1:11" x14ac:dyDescent="0.3">
      <c r="A29" t="s">
        <v>194</v>
      </c>
      <c r="B29" t="s">
        <v>8</v>
      </c>
      <c r="C29">
        <v>88</v>
      </c>
      <c r="D29">
        <v>48</v>
      </c>
      <c r="E29">
        <v>9</v>
      </c>
      <c r="F29">
        <v>4</v>
      </c>
      <c r="G29">
        <v>183.33</v>
      </c>
      <c r="H29">
        <v>0</v>
      </c>
      <c r="I29">
        <v>0</v>
      </c>
      <c r="J29">
        <v>0</v>
      </c>
      <c r="K29">
        <v>0</v>
      </c>
    </row>
    <row r="30" spans="1:11" x14ac:dyDescent="0.3">
      <c r="A30" t="s">
        <v>194</v>
      </c>
      <c r="B30" t="s">
        <v>78</v>
      </c>
      <c r="C30">
        <v>0</v>
      </c>
      <c r="D30">
        <v>0</v>
      </c>
      <c r="E30">
        <v>0</v>
      </c>
      <c r="F30">
        <v>0</v>
      </c>
      <c r="G30">
        <v>0</v>
      </c>
      <c r="H30">
        <v>4</v>
      </c>
      <c r="I30">
        <v>30</v>
      </c>
      <c r="J30">
        <v>1</v>
      </c>
      <c r="K30">
        <v>7.5</v>
      </c>
    </row>
    <row r="31" spans="1:11" x14ac:dyDescent="0.3">
      <c r="A31" t="s">
        <v>195</v>
      </c>
      <c r="B31" t="s">
        <v>96</v>
      </c>
      <c r="C31">
        <v>65</v>
      </c>
      <c r="D31">
        <v>40</v>
      </c>
      <c r="E31">
        <v>6</v>
      </c>
      <c r="F31">
        <v>2</v>
      </c>
      <c r="G31">
        <v>162.5</v>
      </c>
      <c r="H31">
        <v>0</v>
      </c>
      <c r="I31">
        <v>0</v>
      </c>
      <c r="J31">
        <v>0</v>
      </c>
      <c r="K31">
        <v>0</v>
      </c>
    </row>
    <row r="32" spans="1:11" x14ac:dyDescent="0.3">
      <c r="A32" t="s">
        <v>195</v>
      </c>
      <c r="B32" t="s">
        <v>52</v>
      </c>
      <c r="C32">
        <v>10</v>
      </c>
      <c r="D32">
        <v>8</v>
      </c>
      <c r="E32">
        <v>0</v>
      </c>
      <c r="F32">
        <v>1</v>
      </c>
      <c r="G32">
        <v>125</v>
      </c>
      <c r="H32">
        <v>0</v>
      </c>
      <c r="I32">
        <v>0</v>
      </c>
      <c r="J32">
        <v>0</v>
      </c>
      <c r="K32">
        <v>0</v>
      </c>
    </row>
    <row r="33" spans="1:11" x14ac:dyDescent="0.3">
      <c r="A33" t="s">
        <v>196</v>
      </c>
      <c r="B33" t="s">
        <v>88</v>
      </c>
      <c r="C33">
        <v>0</v>
      </c>
      <c r="D33">
        <v>0</v>
      </c>
      <c r="E33">
        <v>0</v>
      </c>
      <c r="F33">
        <v>0</v>
      </c>
      <c r="G33">
        <v>0</v>
      </c>
      <c r="H33">
        <v>4</v>
      </c>
      <c r="I33">
        <v>22</v>
      </c>
      <c r="J33">
        <v>3</v>
      </c>
      <c r="K33">
        <v>5.5</v>
      </c>
    </row>
    <row r="34" spans="1:11" x14ac:dyDescent="0.3">
      <c r="A34" t="s">
        <v>196</v>
      </c>
      <c r="B34" t="s">
        <v>63</v>
      </c>
      <c r="C34">
        <v>40</v>
      </c>
      <c r="D34">
        <v>30</v>
      </c>
      <c r="E34">
        <v>4</v>
      </c>
      <c r="F34">
        <v>1</v>
      </c>
      <c r="G34">
        <v>133.33000000000001</v>
      </c>
      <c r="H34">
        <v>0</v>
      </c>
      <c r="I34">
        <v>0</v>
      </c>
      <c r="J34">
        <v>0</v>
      </c>
      <c r="K34">
        <v>0</v>
      </c>
    </row>
    <row r="35" spans="1:11" x14ac:dyDescent="0.3">
      <c r="A35" t="s">
        <v>197</v>
      </c>
      <c r="B35" t="s">
        <v>30</v>
      </c>
      <c r="C35">
        <v>55</v>
      </c>
      <c r="D35">
        <v>30</v>
      </c>
      <c r="E35">
        <v>5</v>
      </c>
      <c r="F35">
        <v>3</v>
      </c>
      <c r="G35">
        <v>183.33</v>
      </c>
      <c r="H35">
        <v>0</v>
      </c>
      <c r="I35">
        <v>0</v>
      </c>
      <c r="J35">
        <v>0</v>
      </c>
      <c r="K35">
        <v>0</v>
      </c>
    </row>
    <row r="36" spans="1:11" x14ac:dyDescent="0.3">
      <c r="A36" t="s">
        <v>197</v>
      </c>
      <c r="B36" t="s">
        <v>15</v>
      </c>
      <c r="C36">
        <v>0</v>
      </c>
      <c r="D36">
        <v>0</v>
      </c>
      <c r="E36">
        <v>0</v>
      </c>
      <c r="F36">
        <v>0</v>
      </c>
      <c r="G36">
        <v>0</v>
      </c>
      <c r="H36">
        <v>4</v>
      </c>
      <c r="I36">
        <v>32</v>
      </c>
      <c r="J36">
        <v>1</v>
      </c>
      <c r="K36">
        <v>8</v>
      </c>
    </row>
    <row r="37" spans="1:11" x14ac:dyDescent="0.3">
      <c r="A37" t="s">
        <v>198</v>
      </c>
      <c r="B37" t="s">
        <v>47</v>
      </c>
      <c r="C37">
        <v>68</v>
      </c>
      <c r="D37">
        <v>40</v>
      </c>
      <c r="E37">
        <v>6</v>
      </c>
      <c r="F37">
        <v>3</v>
      </c>
      <c r="G37">
        <v>170</v>
      </c>
      <c r="H37">
        <v>0</v>
      </c>
      <c r="I37">
        <v>0</v>
      </c>
      <c r="J37">
        <v>0</v>
      </c>
      <c r="K37">
        <v>0</v>
      </c>
    </row>
    <row r="38" spans="1:11" x14ac:dyDescent="0.3">
      <c r="A38" t="s">
        <v>198</v>
      </c>
      <c r="B38" t="s">
        <v>99</v>
      </c>
      <c r="C38">
        <v>0</v>
      </c>
      <c r="D38">
        <v>0</v>
      </c>
      <c r="E38">
        <v>0</v>
      </c>
      <c r="F38">
        <v>0</v>
      </c>
      <c r="G38">
        <v>0</v>
      </c>
      <c r="H38">
        <v>4</v>
      </c>
      <c r="I38">
        <v>42</v>
      </c>
      <c r="J38">
        <v>1</v>
      </c>
      <c r="K38">
        <v>10.5</v>
      </c>
    </row>
    <row r="39" spans="1:11" x14ac:dyDescent="0.3">
      <c r="A39" t="s">
        <v>199</v>
      </c>
      <c r="B39" t="s">
        <v>78</v>
      </c>
      <c r="C39">
        <v>0</v>
      </c>
      <c r="D39">
        <v>0</v>
      </c>
      <c r="E39">
        <v>0</v>
      </c>
      <c r="F39">
        <v>0</v>
      </c>
      <c r="G39">
        <v>0</v>
      </c>
      <c r="H39">
        <v>4</v>
      </c>
      <c r="I39">
        <v>20</v>
      </c>
      <c r="J39">
        <v>3</v>
      </c>
      <c r="K39">
        <v>5</v>
      </c>
    </row>
    <row r="40" spans="1:11" x14ac:dyDescent="0.3">
      <c r="A40" t="s">
        <v>199</v>
      </c>
      <c r="B40" t="s">
        <v>55</v>
      </c>
      <c r="C40">
        <v>25</v>
      </c>
      <c r="D40">
        <v>15</v>
      </c>
      <c r="E40">
        <v>2</v>
      </c>
      <c r="F40">
        <v>2</v>
      </c>
      <c r="G40">
        <v>166.67</v>
      </c>
      <c r="H40">
        <v>0</v>
      </c>
      <c r="I40">
        <v>0</v>
      </c>
      <c r="J40">
        <v>0</v>
      </c>
      <c r="K40">
        <v>0</v>
      </c>
    </row>
    <row r="41" spans="1:11" x14ac:dyDescent="0.3">
      <c r="A41" t="s">
        <v>200</v>
      </c>
      <c r="B41" t="s">
        <v>69</v>
      </c>
      <c r="C41">
        <v>50</v>
      </c>
      <c r="D41">
        <v>30</v>
      </c>
      <c r="E41">
        <v>4</v>
      </c>
      <c r="F41">
        <v>3</v>
      </c>
      <c r="G41">
        <v>166.67</v>
      </c>
      <c r="H41">
        <v>0</v>
      </c>
      <c r="I41">
        <v>0</v>
      </c>
      <c r="J41">
        <v>0</v>
      </c>
      <c r="K41">
        <v>0</v>
      </c>
    </row>
    <row r="42" spans="1:11" x14ac:dyDescent="0.3">
      <c r="A42" t="s">
        <v>200</v>
      </c>
      <c r="B42" t="s">
        <v>93</v>
      </c>
      <c r="C42">
        <v>0</v>
      </c>
      <c r="D42">
        <v>0</v>
      </c>
      <c r="E42">
        <v>0</v>
      </c>
      <c r="F42">
        <v>0</v>
      </c>
      <c r="G42">
        <v>0</v>
      </c>
      <c r="H42">
        <v>4</v>
      </c>
      <c r="I42">
        <v>40</v>
      </c>
      <c r="J42">
        <v>0</v>
      </c>
      <c r="K42">
        <v>10</v>
      </c>
    </row>
    <row r="43" spans="1:11" x14ac:dyDescent="0.3">
      <c r="A43" t="s">
        <v>201</v>
      </c>
      <c r="B43" t="s">
        <v>15</v>
      </c>
      <c r="C43">
        <v>0</v>
      </c>
      <c r="D43">
        <v>0</v>
      </c>
      <c r="E43">
        <v>0</v>
      </c>
      <c r="F43">
        <v>0</v>
      </c>
      <c r="G43">
        <v>0</v>
      </c>
      <c r="H43">
        <v>4</v>
      </c>
      <c r="I43">
        <v>26</v>
      </c>
      <c r="J43">
        <v>3</v>
      </c>
      <c r="K43">
        <v>6.5</v>
      </c>
    </row>
    <row r="44" spans="1:11" x14ac:dyDescent="0.3">
      <c r="A44" t="s">
        <v>201</v>
      </c>
      <c r="B44" t="s">
        <v>52</v>
      </c>
      <c r="C44">
        <v>35</v>
      </c>
      <c r="D44">
        <v>28</v>
      </c>
      <c r="E44">
        <v>3</v>
      </c>
      <c r="F44">
        <v>1</v>
      </c>
      <c r="G44">
        <v>125</v>
      </c>
      <c r="H44">
        <v>0</v>
      </c>
      <c r="I44">
        <v>0</v>
      </c>
      <c r="J44">
        <v>0</v>
      </c>
      <c r="K44">
        <v>0</v>
      </c>
    </row>
    <row r="45" spans="1:11" x14ac:dyDescent="0.3">
      <c r="A45" t="s">
        <v>202</v>
      </c>
      <c r="B45" t="s">
        <v>99</v>
      </c>
      <c r="C45">
        <v>0</v>
      </c>
      <c r="D45">
        <v>0</v>
      </c>
      <c r="E45">
        <v>0</v>
      </c>
      <c r="F45">
        <v>0</v>
      </c>
      <c r="G45">
        <v>0</v>
      </c>
      <c r="H45">
        <v>4</v>
      </c>
      <c r="I45">
        <v>23</v>
      </c>
      <c r="J45">
        <v>2</v>
      </c>
      <c r="K45">
        <v>5.75</v>
      </c>
    </row>
    <row r="46" spans="1:11" x14ac:dyDescent="0.3">
      <c r="A46" t="s">
        <v>202</v>
      </c>
      <c r="B46" t="s">
        <v>80</v>
      </c>
      <c r="C46">
        <v>0</v>
      </c>
      <c r="D46">
        <v>0</v>
      </c>
      <c r="E46">
        <v>0</v>
      </c>
      <c r="F46">
        <v>0</v>
      </c>
      <c r="G46">
        <v>0</v>
      </c>
      <c r="H46">
        <v>4</v>
      </c>
      <c r="I46">
        <v>34</v>
      </c>
      <c r="J46">
        <v>1</v>
      </c>
      <c r="K46">
        <v>8.5</v>
      </c>
    </row>
    <row r="47" spans="1:11" x14ac:dyDescent="0.3">
      <c r="A47" t="s">
        <v>203</v>
      </c>
      <c r="B47" t="s">
        <v>42</v>
      </c>
      <c r="C47">
        <v>80</v>
      </c>
      <c r="D47">
        <v>55</v>
      </c>
      <c r="E47">
        <v>7</v>
      </c>
      <c r="F47">
        <v>2</v>
      </c>
      <c r="G47">
        <v>145.44999999999999</v>
      </c>
      <c r="H47">
        <v>0</v>
      </c>
      <c r="I47">
        <v>0</v>
      </c>
      <c r="J47">
        <v>0</v>
      </c>
      <c r="K47">
        <v>0</v>
      </c>
    </row>
    <row r="48" spans="1:11" x14ac:dyDescent="0.3">
      <c r="A48" t="s">
        <v>203</v>
      </c>
      <c r="B48" t="s">
        <v>36</v>
      </c>
      <c r="C48">
        <v>30</v>
      </c>
      <c r="D48">
        <v>22</v>
      </c>
      <c r="E48">
        <v>3</v>
      </c>
      <c r="F48">
        <v>0</v>
      </c>
      <c r="G48">
        <v>136.36000000000001</v>
      </c>
      <c r="H48">
        <v>0</v>
      </c>
      <c r="I48">
        <v>0</v>
      </c>
      <c r="J48">
        <v>0</v>
      </c>
      <c r="K48">
        <v>0</v>
      </c>
    </row>
    <row r="49" spans="1:11" x14ac:dyDescent="0.3">
      <c r="A49" t="s">
        <v>204</v>
      </c>
      <c r="B49" t="s">
        <v>19</v>
      </c>
      <c r="C49">
        <v>78</v>
      </c>
      <c r="D49">
        <v>45</v>
      </c>
      <c r="E49">
        <v>8</v>
      </c>
      <c r="F49">
        <v>3</v>
      </c>
      <c r="G49">
        <v>173.33</v>
      </c>
      <c r="H49">
        <v>0</v>
      </c>
      <c r="I49">
        <v>0</v>
      </c>
      <c r="J49">
        <v>0</v>
      </c>
      <c r="K49">
        <v>0</v>
      </c>
    </row>
    <row r="50" spans="1:11" x14ac:dyDescent="0.3">
      <c r="A50" t="s">
        <v>204</v>
      </c>
      <c r="B50" t="s">
        <v>71</v>
      </c>
      <c r="C50">
        <v>0</v>
      </c>
      <c r="D50">
        <v>0</v>
      </c>
      <c r="E50">
        <v>0</v>
      </c>
      <c r="F50">
        <v>0</v>
      </c>
      <c r="G50">
        <v>0</v>
      </c>
      <c r="H50">
        <v>4</v>
      </c>
      <c r="I50">
        <v>28</v>
      </c>
      <c r="J50">
        <v>1</v>
      </c>
      <c r="K50">
        <v>7</v>
      </c>
    </row>
    <row r="51" spans="1:11" x14ac:dyDescent="0.3">
      <c r="A51" t="s">
        <v>205</v>
      </c>
      <c r="B51" t="s">
        <v>103</v>
      </c>
      <c r="C51">
        <v>90</v>
      </c>
      <c r="D51">
        <v>50</v>
      </c>
      <c r="E51">
        <v>11</v>
      </c>
      <c r="F51">
        <v>3</v>
      </c>
      <c r="G51">
        <v>180</v>
      </c>
      <c r="H51">
        <v>0</v>
      </c>
      <c r="I51">
        <v>0</v>
      </c>
      <c r="J51">
        <v>0</v>
      </c>
      <c r="K51">
        <v>0</v>
      </c>
    </row>
    <row r="52" spans="1:11" x14ac:dyDescent="0.3">
      <c r="A52" t="s">
        <v>205</v>
      </c>
      <c r="B52" t="s">
        <v>85</v>
      </c>
      <c r="C52">
        <v>50</v>
      </c>
      <c r="D52">
        <v>35</v>
      </c>
      <c r="E52">
        <v>4</v>
      </c>
      <c r="F52">
        <v>2</v>
      </c>
      <c r="G52">
        <v>142.86000000000001</v>
      </c>
      <c r="H52">
        <v>0</v>
      </c>
      <c r="I52">
        <v>0</v>
      </c>
      <c r="J52">
        <v>0</v>
      </c>
      <c r="K52">
        <v>0</v>
      </c>
    </row>
    <row r="53" spans="1:11" x14ac:dyDescent="0.3">
      <c r="A53" t="s">
        <v>206</v>
      </c>
      <c r="B53" t="s">
        <v>39</v>
      </c>
      <c r="C53">
        <v>0</v>
      </c>
      <c r="D53">
        <v>0</v>
      </c>
      <c r="E53">
        <v>0</v>
      </c>
      <c r="F53">
        <v>0</v>
      </c>
      <c r="G53">
        <v>0</v>
      </c>
      <c r="H53">
        <v>4</v>
      </c>
      <c r="I53">
        <v>21</v>
      </c>
      <c r="J53">
        <v>3</v>
      </c>
      <c r="K53">
        <v>5.25</v>
      </c>
    </row>
    <row r="54" spans="1:11" x14ac:dyDescent="0.3">
      <c r="A54" t="s">
        <v>206</v>
      </c>
      <c r="B54" t="s">
        <v>58</v>
      </c>
      <c r="C54">
        <v>15</v>
      </c>
      <c r="D54">
        <v>10</v>
      </c>
      <c r="E54">
        <v>1</v>
      </c>
      <c r="F54">
        <v>1</v>
      </c>
      <c r="G54">
        <v>150</v>
      </c>
      <c r="H54">
        <v>4</v>
      </c>
      <c r="I54">
        <v>25</v>
      </c>
      <c r="J54">
        <v>1</v>
      </c>
      <c r="K54">
        <v>6.25</v>
      </c>
    </row>
    <row r="55" spans="1:11" x14ac:dyDescent="0.3">
      <c r="A55" t="s">
        <v>207</v>
      </c>
      <c r="B55" t="s">
        <v>74</v>
      </c>
      <c r="C55">
        <v>102</v>
      </c>
      <c r="D55">
        <v>59</v>
      </c>
      <c r="E55">
        <v>10</v>
      </c>
      <c r="F55">
        <v>4</v>
      </c>
      <c r="G55">
        <v>172.88</v>
      </c>
      <c r="H55">
        <v>0</v>
      </c>
      <c r="I55">
        <v>0</v>
      </c>
      <c r="J55">
        <v>0</v>
      </c>
      <c r="K55">
        <v>0</v>
      </c>
    </row>
    <row r="56" spans="1:11" x14ac:dyDescent="0.3">
      <c r="A56" t="s">
        <v>207</v>
      </c>
      <c r="B56" t="s">
        <v>47</v>
      </c>
      <c r="C56">
        <v>33</v>
      </c>
      <c r="D56">
        <v>20</v>
      </c>
      <c r="E56">
        <v>3</v>
      </c>
      <c r="F56">
        <v>2</v>
      </c>
      <c r="G56">
        <v>165</v>
      </c>
      <c r="H56">
        <v>0</v>
      </c>
      <c r="I56">
        <v>0</v>
      </c>
      <c r="J56">
        <v>0</v>
      </c>
      <c r="K56">
        <v>0</v>
      </c>
    </row>
    <row r="57" spans="1:11" x14ac:dyDescent="0.3">
      <c r="A57" t="s">
        <v>208</v>
      </c>
      <c r="B57" t="s">
        <v>24</v>
      </c>
      <c r="C57">
        <v>60</v>
      </c>
      <c r="D57">
        <v>35</v>
      </c>
      <c r="E57">
        <v>5</v>
      </c>
      <c r="F57">
        <v>3</v>
      </c>
      <c r="G57">
        <v>171.43</v>
      </c>
      <c r="H57">
        <v>0</v>
      </c>
      <c r="I57">
        <v>0</v>
      </c>
      <c r="J57">
        <v>0</v>
      </c>
      <c r="K57">
        <v>0</v>
      </c>
    </row>
    <row r="58" spans="1:11" x14ac:dyDescent="0.3">
      <c r="A58" t="s">
        <v>208</v>
      </c>
      <c r="B58" t="s">
        <v>63</v>
      </c>
      <c r="C58">
        <v>25</v>
      </c>
      <c r="D58">
        <v>20</v>
      </c>
      <c r="E58">
        <v>2</v>
      </c>
      <c r="F58">
        <v>0</v>
      </c>
      <c r="G58">
        <v>125</v>
      </c>
      <c r="H58">
        <v>0</v>
      </c>
      <c r="I58">
        <v>0</v>
      </c>
      <c r="J58">
        <v>0</v>
      </c>
      <c r="K58">
        <v>0</v>
      </c>
    </row>
    <row r="59" spans="1:11" x14ac:dyDescent="0.3">
      <c r="A59" t="s">
        <v>209</v>
      </c>
      <c r="B59" t="s">
        <v>91</v>
      </c>
      <c r="C59">
        <v>70</v>
      </c>
      <c r="D59">
        <v>42</v>
      </c>
      <c r="E59">
        <v>8</v>
      </c>
      <c r="F59">
        <v>2</v>
      </c>
      <c r="G59">
        <v>166.67</v>
      </c>
      <c r="H59">
        <v>0</v>
      </c>
      <c r="I59">
        <v>0</v>
      </c>
      <c r="J59">
        <v>0</v>
      </c>
      <c r="K59">
        <v>0</v>
      </c>
    </row>
    <row r="60" spans="1:11" x14ac:dyDescent="0.3">
      <c r="A60" t="s">
        <v>209</v>
      </c>
      <c r="B60" t="s">
        <v>96</v>
      </c>
      <c r="C60">
        <v>20</v>
      </c>
      <c r="D60">
        <v>15</v>
      </c>
      <c r="E60">
        <v>1</v>
      </c>
      <c r="F60">
        <v>1</v>
      </c>
      <c r="G60">
        <v>133.33000000000001</v>
      </c>
      <c r="H60">
        <v>0</v>
      </c>
      <c r="I60">
        <v>0</v>
      </c>
      <c r="J60">
        <v>0</v>
      </c>
      <c r="K60">
        <v>0</v>
      </c>
    </row>
    <row r="61" spans="1:11" x14ac:dyDescent="0.3">
      <c r="A61" t="s">
        <v>210</v>
      </c>
      <c r="B61" t="s">
        <v>52</v>
      </c>
      <c r="C61">
        <v>85</v>
      </c>
      <c r="D61">
        <v>45</v>
      </c>
      <c r="E61">
        <v>7</v>
      </c>
      <c r="F61">
        <v>4</v>
      </c>
      <c r="G61">
        <v>188.89</v>
      </c>
      <c r="H61">
        <v>0</v>
      </c>
      <c r="I61">
        <v>0</v>
      </c>
      <c r="J61">
        <v>0</v>
      </c>
      <c r="K61">
        <v>0</v>
      </c>
    </row>
    <row r="62" spans="1:11" x14ac:dyDescent="0.3">
      <c r="A62" t="s">
        <v>210</v>
      </c>
      <c r="B62" t="s">
        <v>33</v>
      </c>
      <c r="C62">
        <v>0</v>
      </c>
      <c r="D62">
        <v>0</v>
      </c>
      <c r="E62">
        <v>0</v>
      </c>
      <c r="F62">
        <v>0</v>
      </c>
      <c r="G62">
        <v>0</v>
      </c>
      <c r="H62">
        <v>4</v>
      </c>
      <c r="I62">
        <v>35</v>
      </c>
      <c r="J62">
        <v>2</v>
      </c>
      <c r="K62">
        <v>8.75</v>
      </c>
    </row>
    <row r="63" spans="1:11" x14ac:dyDescent="0.3">
      <c r="A63" t="s">
        <v>211</v>
      </c>
      <c r="B63" t="s">
        <v>50</v>
      </c>
      <c r="C63">
        <v>42</v>
      </c>
      <c r="D63">
        <v>21</v>
      </c>
      <c r="E63">
        <v>3</v>
      </c>
      <c r="F63">
        <v>3</v>
      </c>
      <c r="G63">
        <v>200</v>
      </c>
      <c r="H63">
        <v>0</v>
      </c>
      <c r="I63">
        <v>0</v>
      </c>
      <c r="J63">
        <v>0</v>
      </c>
      <c r="K63">
        <v>0</v>
      </c>
    </row>
    <row r="64" spans="1:11" x14ac:dyDescent="0.3">
      <c r="A64" t="s">
        <v>211</v>
      </c>
      <c r="B64" t="s">
        <v>8</v>
      </c>
      <c r="C64">
        <v>65</v>
      </c>
      <c r="D64">
        <v>40</v>
      </c>
      <c r="E64">
        <v>6</v>
      </c>
      <c r="F64">
        <v>2</v>
      </c>
      <c r="G64">
        <v>162.5</v>
      </c>
      <c r="H64">
        <v>0</v>
      </c>
      <c r="I64">
        <v>0</v>
      </c>
      <c r="J64">
        <v>0</v>
      </c>
      <c r="K64">
        <v>0</v>
      </c>
    </row>
    <row r="65" spans="1:11" x14ac:dyDescent="0.3">
      <c r="A65" t="s">
        <v>212</v>
      </c>
      <c r="B65" t="s">
        <v>71</v>
      </c>
      <c r="C65">
        <v>0</v>
      </c>
      <c r="D65">
        <v>0</v>
      </c>
      <c r="E65">
        <v>0</v>
      </c>
      <c r="F65">
        <v>0</v>
      </c>
      <c r="G65">
        <v>0</v>
      </c>
      <c r="H65">
        <v>4</v>
      </c>
      <c r="I65">
        <v>25</v>
      </c>
      <c r="J65">
        <v>2</v>
      </c>
      <c r="K65">
        <v>6.25</v>
      </c>
    </row>
    <row r="66" spans="1:11" x14ac:dyDescent="0.3">
      <c r="A66" t="s">
        <v>212</v>
      </c>
      <c r="B66" t="s">
        <v>78</v>
      </c>
      <c r="C66">
        <v>0</v>
      </c>
      <c r="D66">
        <v>0</v>
      </c>
      <c r="E66">
        <v>0</v>
      </c>
      <c r="F66">
        <v>0</v>
      </c>
      <c r="G66">
        <v>0</v>
      </c>
      <c r="H66">
        <v>4</v>
      </c>
      <c r="I66">
        <v>30</v>
      </c>
      <c r="J66">
        <v>1</v>
      </c>
      <c r="K66">
        <v>7.5</v>
      </c>
    </row>
    <row r="67" spans="1:11" x14ac:dyDescent="0.3">
      <c r="A67" t="s">
        <v>213</v>
      </c>
      <c r="B67" t="s">
        <v>93</v>
      </c>
      <c r="C67">
        <v>0</v>
      </c>
      <c r="D67">
        <v>0</v>
      </c>
      <c r="E67">
        <v>0</v>
      </c>
      <c r="F67">
        <v>0</v>
      </c>
      <c r="G67">
        <v>0</v>
      </c>
      <c r="H67">
        <v>4</v>
      </c>
      <c r="I67">
        <v>20</v>
      </c>
      <c r="J67">
        <v>3</v>
      </c>
      <c r="K67">
        <v>5</v>
      </c>
    </row>
    <row r="68" spans="1:11" x14ac:dyDescent="0.3">
      <c r="A68" t="s">
        <v>213</v>
      </c>
      <c r="B68" t="s">
        <v>30</v>
      </c>
      <c r="C68">
        <v>20</v>
      </c>
      <c r="D68">
        <v>15</v>
      </c>
      <c r="E68">
        <v>1</v>
      </c>
      <c r="F68">
        <v>1</v>
      </c>
      <c r="G68">
        <v>133.33000000000001</v>
      </c>
      <c r="H68">
        <v>0</v>
      </c>
      <c r="I68">
        <v>0</v>
      </c>
      <c r="J68">
        <v>0</v>
      </c>
      <c r="K68">
        <v>0</v>
      </c>
    </row>
    <row r="69" spans="1:11" x14ac:dyDescent="0.3">
      <c r="A69" t="s">
        <v>214</v>
      </c>
      <c r="B69" t="s">
        <v>55</v>
      </c>
      <c r="C69">
        <v>90</v>
      </c>
      <c r="D69">
        <v>48</v>
      </c>
      <c r="E69">
        <v>8</v>
      </c>
      <c r="F69">
        <v>5</v>
      </c>
      <c r="G69">
        <v>187.5</v>
      </c>
      <c r="H69">
        <v>4</v>
      </c>
      <c r="I69">
        <v>35</v>
      </c>
      <c r="J69">
        <v>1</v>
      </c>
      <c r="K69">
        <v>8.75</v>
      </c>
    </row>
    <row r="70" spans="1:11" x14ac:dyDescent="0.3">
      <c r="A70" t="s">
        <v>214</v>
      </c>
      <c r="B70" t="s">
        <v>63</v>
      </c>
      <c r="C70">
        <v>55</v>
      </c>
      <c r="D70">
        <v>35</v>
      </c>
      <c r="E70">
        <v>5</v>
      </c>
      <c r="F70">
        <v>2</v>
      </c>
      <c r="G70">
        <v>157.13999999999999</v>
      </c>
      <c r="H70">
        <v>0</v>
      </c>
      <c r="I70">
        <v>0</v>
      </c>
      <c r="J70">
        <v>0</v>
      </c>
      <c r="K70">
        <v>0</v>
      </c>
    </row>
    <row r="71" spans="1:11" x14ac:dyDescent="0.3">
      <c r="A71" t="s">
        <v>215</v>
      </c>
      <c r="B71" t="s">
        <v>101</v>
      </c>
      <c r="C71">
        <v>110</v>
      </c>
      <c r="D71">
        <v>60</v>
      </c>
      <c r="E71">
        <v>10</v>
      </c>
      <c r="F71">
        <v>6</v>
      </c>
      <c r="G71">
        <v>183.33</v>
      </c>
      <c r="H71">
        <v>0</v>
      </c>
      <c r="I71">
        <v>0</v>
      </c>
      <c r="J71">
        <v>0</v>
      </c>
      <c r="K71">
        <v>0</v>
      </c>
    </row>
    <row r="72" spans="1:11" x14ac:dyDescent="0.3">
      <c r="A72" t="s">
        <v>215</v>
      </c>
      <c r="B72" t="s">
        <v>45</v>
      </c>
      <c r="C72">
        <v>0</v>
      </c>
      <c r="D72">
        <v>0</v>
      </c>
      <c r="E72">
        <v>0</v>
      </c>
      <c r="F72">
        <v>0</v>
      </c>
      <c r="G72">
        <v>0</v>
      </c>
      <c r="H72">
        <v>4</v>
      </c>
      <c r="I72">
        <v>45</v>
      </c>
      <c r="J72">
        <v>1</v>
      </c>
      <c r="K72">
        <v>11.25</v>
      </c>
    </row>
    <row r="73" spans="1:11" x14ac:dyDescent="0.3">
      <c r="A73" t="s">
        <v>216</v>
      </c>
      <c r="B73" t="s">
        <v>27</v>
      </c>
      <c r="C73">
        <v>30</v>
      </c>
      <c r="D73">
        <v>20</v>
      </c>
      <c r="E73">
        <v>2</v>
      </c>
      <c r="F73">
        <v>2</v>
      </c>
      <c r="G73">
        <v>150</v>
      </c>
      <c r="H73">
        <v>4</v>
      </c>
      <c r="I73">
        <v>25</v>
      </c>
      <c r="J73">
        <v>2</v>
      </c>
      <c r="K73">
        <v>6.25</v>
      </c>
    </row>
    <row r="74" spans="1:11" x14ac:dyDescent="0.3">
      <c r="A74" t="s">
        <v>216</v>
      </c>
      <c r="B74" t="s">
        <v>88</v>
      </c>
      <c r="C74">
        <v>0</v>
      </c>
      <c r="D74">
        <v>0</v>
      </c>
      <c r="E74">
        <v>0</v>
      </c>
      <c r="F74">
        <v>0</v>
      </c>
      <c r="G74">
        <v>0</v>
      </c>
      <c r="H74">
        <v>4</v>
      </c>
      <c r="I74">
        <v>38</v>
      </c>
      <c r="J74">
        <v>1</v>
      </c>
      <c r="K74">
        <v>9.5</v>
      </c>
    </row>
    <row r="75" spans="1:11" x14ac:dyDescent="0.3">
      <c r="A75" t="s">
        <v>217</v>
      </c>
      <c r="B75" t="s">
        <v>80</v>
      </c>
      <c r="C75">
        <v>0</v>
      </c>
      <c r="D75">
        <v>0</v>
      </c>
      <c r="E75">
        <v>0</v>
      </c>
      <c r="F75">
        <v>0</v>
      </c>
      <c r="G75">
        <v>0</v>
      </c>
      <c r="H75">
        <v>3.3</v>
      </c>
      <c r="I75">
        <v>18</v>
      </c>
      <c r="J75">
        <v>4</v>
      </c>
      <c r="K75">
        <v>5.14</v>
      </c>
    </row>
    <row r="76" spans="1:11" x14ac:dyDescent="0.3">
      <c r="A76" t="s">
        <v>217</v>
      </c>
      <c r="B76" t="s">
        <v>103</v>
      </c>
      <c r="C76">
        <v>35</v>
      </c>
      <c r="D76">
        <v>28</v>
      </c>
      <c r="E76">
        <v>3</v>
      </c>
      <c r="F76">
        <v>1</v>
      </c>
      <c r="G76">
        <v>125</v>
      </c>
      <c r="H76">
        <v>0</v>
      </c>
      <c r="I76">
        <v>0</v>
      </c>
      <c r="J76">
        <v>0</v>
      </c>
      <c r="K76">
        <v>0</v>
      </c>
    </row>
    <row r="77" spans="1:11" x14ac:dyDescent="0.3">
      <c r="A77" t="s">
        <v>218</v>
      </c>
      <c r="B77" t="s">
        <v>33</v>
      </c>
      <c r="C77">
        <v>0</v>
      </c>
      <c r="D77">
        <v>0</v>
      </c>
      <c r="E77">
        <v>0</v>
      </c>
      <c r="F77">
        <v>0</v>
      </c>
      <c r="G77">
        <v>0</v>
      </c>
      <c r="H77">
        <v>4</v>
      </c>
      <c r="I77">
        <v>22</v>
      </c>
      <c r="J77">
        <v>2</v>
      </c>
      <c r="K77">
        <v>5.5</v>
      </c>
    </row>
    <row r="78" spans="1:11" x14ac:dyDescent="0.3">
      <c r="A78" t="s">
        <v>218</v>
      </c>
      <c r="B78" t="s">
        <v>69</v>
      </c>
      <c r="C78">
        <v>45</v>
      </c>
      <c r="D78">
        <v>30</v>
      </c>
      <c r="E78">
        <v>4</v>
      </c>
      <c r="F78">
        <v>2</v>
      </c>
      <c r="G78">
        <v>150</v>
      </c>
      <c r="H78">
        <v>0</v>
      </c>
      <c r="I78">
        <v>0</v>
      </c>
      <c r="J78">
        <v>0</v>
      </c>
      <c r="K78">
        <v>0</v>
      </c>
    </row>
    <row r="79" spans="1:11" x14ac:dyDescent="0.3">
      <c r="A79" t="s">
        <v>219</v>
      </c>
      <c r="B79" t="s">
        <v>42</v>
      </c>
      <c r="C79">
        <v>120</v>
      </c>
      <c r="D79">
        <v>60</v>
      </c>
      <c r="E79">
        <v>12</v>
      </c>
      <c r="F79">
        <v>7</v>
      </c>
      <c r="G79">
        <v>200</v>
      </c>
      <c r="H79">
        <v>0</v>
      </c>
      <c r="I79">
        <v>0</v>
      </c>
      <c r="J79">
        <v>0</v>
      </c>
      <c r="K79">
        <v>0</v>
      </c>
    </row>
    <row r="80" spans="1:11" x14ac:dyDescent="0.3">
      <c r="A80" t="s">
        <v>219</v>
      </c>
      <c r="B80" t="s">
        <v>58</v>
      </c>
      <c r="C80">
        <v>10</v>
      </c>
      <c r="D80">
        <v>8</v>
      </c>
      <c r="E80">
        <v>0</v>
      </c>
      <c r="F80">
        <v>1</v>
      </c>
      <c r="G80">
        <v>125</v>
      </c>
      <c r="H80">
        <v>4</v>
      </c>
      <c r="I80">
        <v>30</v>
      </c>
      <c r="J80">
        <v>1</v>
      </c>
      <c r="K80">
        <v>7.5</v>
      </c>
    </row>
    <row r="81" spans="1:11" x14ac:dyDescent="0.3">
      <c r="A81" t="s">
        <v>220</v>
      </c>
      <c r="B81" t="s">
        <v>83</v>
      </c>
      <c r="C81">
        <v>85</v>
      </c>
      <c r="D81">
        <v>55</v>
      </c>
      <c r="E81">
        <v>9</v>
      </c>
      <c r="F81">
        <v>2</v>
      </c>
      <c r="G81">
        <v>154.55000000000001</v>
      </c>
      <c r="H81">
        <v>0</v>
      </c>
      <c r="I81">
        <v>0</v>
      </c>
      <c r="J81">
        <v>0</v>
      </c>
      <c r="K81">
        <v>0</v>
      </c>
    </row>
    <row r="82" spans="1:11" x14ac:dyDescent="0.3">
      <c r="A82" t="s">
        <v>220</v>
      </c>
      <c r="B82" t="s">
        <v>93</v>
      </c>
      <c r="C82">
        <v>0</v>
      </c>
      <c r="D82">
        <v>0</v>
      </c>
      <c r="E82">
        <v>0</v>
      </c>
      <c r="F82">
        <v>0</v>
      </c>
      <c r="G82">
        <v>0</v>
      </c>
      <c r="H82">
        <v>4</v>
      </c>
      <c r="I82">
        <v>45</v>
      </c>
      <c r="J82">
        <v>0</v>
      </c>
      <c r="K82">
        <v>11.25</v>
      </c>
    </row>
    <row r="83" spans="1:11" x14ac:dyDescent="0.3">
      <c r="A83" t="s">
        <v>221</v>
      </c>
      <c r="B83" t="s">
        <v>96</v>
      </c>
      <c r="C83">
        <v>70</v>
      </c>
      <c r="D83">
        <v>40</v>
      </c>
      <c r="E83">
        <v>7</v>
      </c>
      <c r="F83">
        <v>3</v>
      </c>
      <c r="G83">
        <v>175</v>
      </c>
      <c r="H83">
        <v>0</v>
      </c>
      <c r="I83">
        <v>0</v>
      </c>
      <c r="J83">
        <v>0</v>
      </c>
      <c r="K83">
        <v>0</v>
      </c>
    </row>
    <row r="84" spans="1:11" x14ac:dyDescent="0.3">
      <c r="A84" t="s">
        <v>221</v>
      </c>
      <c r="B84" t="s">
        <v>15</v>
      </c>
      <c r="C84">
        <v>0</v>
      </c>
      <c r="D84">
        <v>0</v>
      </c>
      <c r="E84">
        <v>0</v>
      </c>
      <c r="F84">
        <v>0</v>
      </c>
      <c r="G84">
        <v>0</v>
      </c>
      <c r="H84">
        <v>4</v>
      </c>
      <c r="I84">
        <v>29</v>
      </c>
      <c r="J84">
        <v>2</v>
      </c>
      <c r="K84">
        <v>7.25</v>
      </c>
    </row>
    <row r="85" spans="1:11" x14ac:dyDescent="0.3">
      <c r="A85" t="s">
        <v>222</v>
      </c>
      <c r="B85" t="s">
        <v>63</v>
      </c>
      <c r="C85">
        <v>90</v>
      </c>
      <c r="D85">
        <v>50</v>
      </c>
      <c r="E85">
        <v>9</v>
      </c>
      <c r="F85">
        <v>4</v>
      </c>
      <c r="G85">
        <v>180</v>
      </c>
      <c r="H85">
        <v>0</v>
      </c>
      <c r="I85">
        <v>0</v>
      </c>
      <c r="J85">
        <v>0</v>
      </c>
      <c r="K85">
        <v>0</v>
      </c>
    </row>
    <row r="86" spans="1:11" x14ac:dyDescent="0.3">
      <c r="A86" t="s">
        <v>222</v>
      </c>
      <c r="B86" t="s">
        <v>36</v>
      </c>
      <c r="C86">
        <v>30</v>
      </c>
      <c r="D86">
        <v>20</v>
      </c>
      <c r="E86">
        <v>2</v>
      </c>
      <c r="F86">
        <v>2</v>
      </c>
      <c r="G86">
        <v>150</v>
      </c>
      <c r="H86">
        <v>0</v>
      </c>
      <c r="I86">
        <v>0</v>
      </c>
      <c r="J86">
        <v>0</v>
      </c>
      <c r="K86">
        <v>0</v>
      </c>
    </row>
    <row r="87" spans="1:11" x14ac:dyDescent="0.3">
      <c r="A87" t="s">
        <v>223</v>
      </c>
      <c r="B87" t="s">
        <v>45</v>
      </c>
      <c r="C87">
        <v>0</v>
      </c>
      <c r="D87">
        <v>0</v>
      </c>
      <c r="E87">
        <v>0</v>
      </c>
      <c r="F87">
        <v>0</v>
      </c>
      <c r="G87">
        <v>0</v>
      </c>
      <c r="H87">
        <v>4</v>
      </c>
      <c r="I87">
        <v>25</v>
      </c>
      <c r="J87">
        <v>3</v>
      </c>
      <c r="K87">
        <v>6.25</v>
      </c>
    </row>
    <row r="88" spans="1:11" x14ac:dyDescent="0.3">
      <c r="A88" t="s">
        <v>223</v>
      </c>
      <c r="B88" t="s">
        <v>19</v>
      </c>
      <c r="C88">
        <v>5</v>
      </c>
      <c r="D88">
        <v>10</v>
      </c>
      <c r="E88">
        <v>0</v>
      </c>
      <c r="F88">
        <v>0</v>
      </c>
      <c r="G88">
        <v>50</v>
      </c>
      <c r="H88">
        <v>0</v>
      </c>
      <c r="I88">
        <v>0</v>
      </c>
      <c r="J88">
        <v>0</v>
      </c>
      <c r="K88">
        <v>0</v>
      </c>
    </row>
    <row r="89" spans="1:11" x14ac:dyDescent="0.3">
      <c r="A89" t="s">
        <v>224</v>
      </c>
      <c r="B89" t="s">
        <v>52</v>
      </c>
      <c r="C89">
        <v>105</v>
      </c>
      <c r="D89">
        <v>55</v>
      </c>
      <c r="E89">
        <v>10</v>
      </c>
      <c r="F89">
        <v>5</v>
      </c>
      <c r="G89">
        <v>190.91</v>
      </c>
      <c r="H89">
        <v>0</v>
      </c>
      <c r="I89">
        <v>0</v>
      </c>
      <c r="J89">
        <v>0</v>
      </c>
      <c r="K89">
        <v>0</v>
      </c>
    </row>
    <row r="90" spans="1:11" x14ac:dyDescent="0.3">
      <c r="A90" t="s">
        <v>224</v>
      </c>
      <c r="B90" t="s">
        <v>78</v>
      </c>
      <c r="C90">
        <v>0</v>
      </c>
      <c r="D90">
        <v>0</v>
      </c>
      <c r="E90">
        <v>0</v>
      </c>
      <c r="F90">
        <v>0</v>
      </c>
      <c r="G90">
        <v>0</v>
      </c>
      <c r="H90">
        <v>4</v>
      </c>
      <c r="I90">
        <v>40</v>
      </c>
      <c r="J90">
        <v>1</v>
      </c>
      <c r="K90">
        <v>10</v>
      </c>
    </row>
    <row r="91" spans="1:11" x14ac:dyDescent="0.3">
      <c r="A91" t="s">
        <v>225</v>
      </c>
      <c r="B91" t="s">
        <v>103</v>
      </c>
      <c r="C91">
        <v>95</v>
      </c>
      <c r="D91">
        <v>58</v>
      </c>
      <c r="E91">
        <v>10</v>
      </c>
      <c r="F91">
        <v>4</v>
      </c>
      <c r="G91">
        <v>163.79</v>
      </c>
      <c r="H91">
        <v>0</v>
      </c>
      <c r="I91">
        <v>0</v>
      </c>
      <c r="J91">
        <v>0</v>
      </c>
      <c r="K91">
        <v>0</v>
      </c>
    </row>
    <row r="92" spans="1:11" x14ac:dyDescent="0.3">
      <c r="A92" t="s">
        <v>225</v>
      </c>
      <c r="B92" t="s">
        <v>63</v>
      </c>
      <c r="C92">
        <v>45</v>
      </c>
      <c r="D92">
        <v>35</v>
      </c>
      <c r="E92">
        <v>4</v>
      </c>
      <c r="F92">
        <v>1</v>
      </c>
      <c r="G92">
        <v>128.57</v>
      </c>
      <c r="H92">
        <v>0</v>
      </c>
      <c r="I92">
        <v>0</v>
      </c>
      <c r="J92">
        <v>0</v>
      </c>
      <c r="K92">
        <v>0</v>
      </c>
    </row>
    <row r="93" spans="1:11" x14ac:dyDescent="0.3">
      <c r="A93" t="s">
        <v>226</v>
      </c>
      <c r="B93" t="s">
        <v>30</v>
      </c>
      <c r="C93">
        <v>58</v>
      </c>
      <c r="D93">
        <v>32</v>
      </c>
      <c r="E93">
        <v>6</v>
      </c>
      <c r="F93">
        <v>3</v>
      </c>
      <c r="G93">
        <v>181.25</v>
      </c>
      <c r="H93">
        <v>0</v>
      </c>
      <c r="I93">
        <v>0</v>
      </c>
      <c r="J93">
        <v>0</v>
      </c>
      <c r="K93">
        <v>0</v>
      </c>
    </row>
    <row r="94" spans="1:11" x14ac:dyDescent="0.3">
      <c r="A94" t="s">
        <v>226</v>
      </c>
      <c r="B94" t="s">
        <v>74</v>
      </c>
      <c r="C94">
        <v>40</v>
      </c>
      <c r="D94">
        <v>28</v>
      </c>
      <c r="E94">
        <v>3</v>
      </c>
      <c r="F94">
        <v>1</v>
      </c>
      <c r="G94">
        <v>142.86000000000001</v>
      </c>
      <c r="H94">
        <v>0</v>
      </c>
      <c r="I94">
        <v>0</v>
      </c>
      <c r="J94">
        <v>0</v>
      </c>
      <c r="K94">
        <v>0</v>
      </c>
    </row>
    <row r="95" spans="1:11" x14ac:dyDescent="0.3">
      <c r="A95" t="s">
        <v>227</v>
      </c>
      <c r="B95" t="s">
        <v>55</v>
      </c>
      <c r="C95">
        <v>34</v>
      </c>
      <c r="D95">
        <v>18</v>
      </c>
      <c r="E95">
        <v>2</v>
      </c>
      <c r="F95">
        <v>3</v>
      </c>
      <c r="G95">
        <v>188.89</v>
      </c>
      <c r="H95">
        <v>4</v>
      </c>
      <c r="I95">
        <v>38</v>
      </c>
      <c r="J95">
        <v>3</v>
      </c>
      <c r="K95">
        <v>9.5</v>
      </c>
    </row>
    <row r="96" spans="1:11" x14ac:dyDescent="0.3">
      <c r="A96" t="s">
        <v>227</v>
      </c>
      <c r="B96" t="s">
        <v>88</v>
      </c>
      <c r="C96">
        <v>0</v>
      </c>
      <c r="D96">
        <v>0</v>
      </c>
      <c r="E96">
        <v>0</v>
      </c>
      <c r="F96">
        <v>0</v>
      </c>
      <c r="G96">
        <v>0</v>
      </c>
      <c r="H96">
        <v>4</v>
      </c>
      <c r="I96">
        <v>30</v>
      </c>
      <c r="J96">
        <v>2</v>
      </c>
      <c r="K96">
        <v>7.5</v>
      </c>
    </row>
    <row r="97" spans="1:11" x14ac:dyDescent="0.3">
      <c r="A97" t="s">
        <v>228</v>
      </c>
      <c r="B97" t="s">
        <v>74</v>
      </c>
      <c r="C97">
        <v>65</v>
      </c>
      <c r="D97">
        <v>40</v>
      </c>
      <c r="E97">
        <v>7</v>
      </c>
      <c r="F97">
        <v>2</v>
      </c>
      <c r="G97">
        <v>162.5</v>
      </c>
      <c r="H97">
        <v>0</v>
      </c>
      <c r="I97">
        <v>0</v>
      </c>
      <c r="J97">
        <v>0</v>
      </c>
      <c r="K97">
        <v>0</v>
      </c>
    </row>
    <row r="98" spans="1:11" x14ac:dyDescent="0.3">
      <c r="A98" t="s">
        <v>228</v>
      </c>
      <c r="B98" t="s">
        <v>15</v>
      </c>
      <c r="C98">
        <v>0</v>
      </c>
      <c r="D98">
        <v>0</v>
      </c>
      <c r="E98">
        <v>0</v>
      </c>
      <c r="F98">
        <v>0</v>
      </c>
      <c r="G98">
        <v>0</v>
      </c>
      <c r="H98">
        <v>3.2</v>
      </c>
      <c r="I98">
        <v>25</v>
      </c>
      <c r="J98">
        <v>3</v>
      </c>
      <c r="K98">
        <v>7.5</v>
      </c>
    </row>
    <row r="99" spans="1:11" x14ac:dyDescent="0.3">
      <c r="A99" t="s">
        <v>229</v>
      </c>
      <c r="B99" t="s">
        <v>83</v>
      </c>
      <c r="C99">
        <v>88</v>
      </c>
      <c r="D99">
        <v>52</v>
      </c>
      <c r="E99">
        <v>8</v>
      </c>
      <c r="F99">
        <v>3</v>
      </c>
      <c r="G99">
        <v>169.23</v>
      </c>
      <c r="H99">
        <v>0</v>
      </c>
      <c r="I99">
        <v>0</v>
      </c>
      <c r="J99">
        <v>0</v>
      </c>
      <c r="K99">
        <v>0</v>
      </c>
    </row>
    <row r="100" spans="1:11" x14ac:dyDescent="0.3">
      <c r="A100" t="s">
        <v>229</v>
      </c>
      <c r="B100" t="s">
        <v>42</v>
      </c>
      <c r="C100">
        <v>5</v>
      </c>
      <c r="D100">
        <v>7</v>
      </c>
      <c r="E100">
        <v>0</v>
      </c>
      <c r="F100">
        <v>0</v>
      </c>
      <c r="G100">
        <v>71.430000000000007</v>
      </c>
      <c r="H100">
        <v>0</v>
      </c>
      <c r="I100">
        <v>0</v>
      </c>
      <c r="J100">
        <v>0</v>
      </c>
      <c r="K100">
        <v>0</v>
      </c>
    </row>
    <row r="101" spans="1:11" x14ac:dyDescent="0.3">
      <c r="A101" t="s">
        <v>230</v>
      </c>
      <c r="B101" t="s">
        <v>58</v>
      </c>
      <c r="C101">
        <v>18</v>
      </c>
      <c r="D101">
        <v>10</v>
      </c>
      <c r="E101">
        <v>1</v>
      </c>
      <c r="F101">
        <v>1</v>
      </c>
      <c r="G101">
        <v>180</v>
      </c>
      <c r="H101">
        <v>4</v>
      </c>
      <c r="I101">
        <v>22</v>
      </c>
      <c r="J101">
        <v>2</v>
      </c>
      <c r="K101">
        <v>5.5</v>
      </c>
    </row>
    <row r="102" spans="1:11" x14ac:dyDescent="0.3">
      <c r="A102" t="s">
        <v>230</v>
      </c>
      <c r="B102" t="s">
        <v>71</v>
      </c>
      <c r="C102">
        <v>0</v>
      </c>
      <c r="D102">
        <v>0</v>
      </c>
      <c r="E102">
        <v>0</v>
      </c>
      <c r="F102">
        <v>0</v>
      </c>
      <c r="G102">
        <v>0</v>
      </c>
      <c r="H102">
        <v>4</v>
      </c>
      <c r="I102">
        <v>25</v>
      </c>
      <c r="J102">
        <v>1</v>
      </c>
      <c r="K102">
        <v>6.25</v>
      </c>
    </row>
    <row r="103" spans="1:11" x14ac:dyDescent="0.3">
      <c r="A103" t="s">
        <v>231</v>
      </c>
      <c r="B103" t="s">
        <v>33</v>
      </c>
      <c r="C103">
        <v>0</v>
      </c>
      <c r="D103">
        <v>0</v>
      </c>
      <c r="E103">
        <v>0</v>
      </c>
      <c r="F103">
        <v>0</v>
      </c>
      <c r="G103">
        <v>0</v>
      </c>
      <c r="H103">
        <v>4</v>
      </c>
      <c r="I103">
        <v>24</v>
      </c>
      <c r="J103">
        <v>3</v>
      </c>
      <c r="K103">
        <v>6</v>
      </c>
    </row>
    <row r="104" spans="1:11" x14ac:dyDescent="0.3">
      <c r="A104" t="s">
        <v>231</v>
      </c>
      <c r="B104" t="s">
        <v>27</v>
      </c>
      <c r="C104">
        <v>35</v>
      </c>
      <c r="D104">
        <v>25</v>
      </c>
      <c r="E104">
        <v>2</v>
      </c>
      <c r="F104">
        <v>2</v>
      </c>
      <c r="G104">
        <v>140</v>
      </c>
      <c r="H104">
        <v>0</v>
      </c>
      <c r="I104">
        <v>0</v>
      </c>
      <c r="J104">
        <v>0</v>
      </c>
      <c r="K104">
        <v>0</v>
      </c>
    </row>
    <row r="105" spans="1:11" x14ac:dyDescent="0.3">
      <c r="A105" t="s">
        <v>232</v>
      </c>
      <c r="B105" t="s">
        <v>101</v>
      </c>
      <c r="C105">
        <v>56</v>
      </c>
      <c r="D105">
        <v>28</v>
      </c>
      <c r="E105">
        <v>3</v>
      </c>
      <c r="F105">
        <v>5</v>
      </c>
      <c r="G105">
        <v>200</v>
      </c>
      <c r="H105">
        <v>0</v>
      </c>
      <c r="I105">
        <v>0</v>
      </c>
      <c r="J105">
        <v>0</v>
      </c>
      <c r="K105">
        <v>0</v>
      </c>
    </row>
    <row r="106" spans="1:11" x14ac:dyDescent="0.3">
      <c r="A106" t="s">
        <v>232</v>
      </c>
      <c r="B106" t="s">
        <v>52</v>
      </c>
      <c r="C106">
        <v>22</v>
      </c>
      <c r="D106">
        <v>19</v>
      </c>
      <c r="E106">
        <v>1</v>
      </c>
      <c r="F106">
        <v>0</v>
      </c>
      <c r="G106">
        <v>115.79</v>
      </c>
      <c r="H106">
        <v>0</v>
      </c>
      <c r="I106">
        <v>0</v>
      </c>
      <c r="J106">
        <v>0</v>
      </c>
      <c r="K106">
        <v>0</v>
      </c>
    </row>
    <row r="107" spans="1:11" x14ac:dyDescent="0.3">
      <c r="A107" t="s">
        <v>233</v>
      </c>
      <c r="B107" t="s">
        <v>60</v>
      </c>
      <c r="C107">
        <v>0</v>
      </c>
      <c r="D107">
        <v>0</v>
      </c>
      <c r="E107">
        <v>0</v>
      </c>
      <c r="F107">
        <v>0</v>
      </c>
      <c r="G107">
        <v>0</v>
      </c>
      <c r="H107">
        <v>3.3</v>
      </c>
      <c r="I107">
        <v>19</v>
      </c>
      <c r="J107">
        <v>4</v>
      </c>
      <c r="K107">
        <v>5.43</v>
      </c>
    </row>
    <row r="108" spans="1:11" x14ac:dyDescent="0.3">
      <c r="A108" t="s">
        <v>233</v>
      </c>
      <c r="B108" t="s">
        <v>42</v>
      </c>
      <c r="C108">
        <v>40</v>
      </c>
      <c r="D108">
        <v>30</v>
      </c>
      <c r="E108">
        <v>3</v>
      </c>
      <c r="F108">
        <v>1</v>
      </c>
      <c r="G108">
        <v>133.33000000000001</v>
      </c>
      <c r="H108">
        <v>0</v>
      </c>
      <c r="I108">
        <v>0</v>
      </c>
      <c r="J108">
        <v>0</v>
      </c>
      <c r="K108">
        <v>0</v>
      </c>
    </row>
    <row r="109" spans="1:11" x14ac:dyDescent="0.3">
      <c r="A109" t="s">
        <v>234</v>
      </c>
      <c r="B109" t="s">
        <v>66</v>
      </c>
      <c r="C109">
        <v>0</v>
      </c>
      <c r="D109">
        <v>0</v>
      </c>
      <c r="E109">
        <v>0</v>
      </c>
      <c r="F109">
        <v>0</v>
      </c>
      <c r="G109">
        <v>0</v>
      </c>
      <c r="H109">
        <v>4</v>
      </c>
      <c r="I109">
        <v>17</v>
      </c>
      <c r="J109">
        <v>2</v>
      </c>
      <c r="K109">
        <v>4.25</v>
      </c>
    </row>
    <row r="110" spans="1:11" x14ac:dyDescent="0.3">
      <c r="A110" t="s">
        <v>234</v>
      </c>
      <c r="B110" t="s">
        <v>91</v>
      </c>
      <c r="C110">
        <v>12</v>
      </c>
      <c r="D110">
        <v>14</v>
      </c>
      <c r="E110">
        <v>1</v>
      </c>
      <c r="F110">
        <v>0</v>
      </c>
      <c r="G110">
        <v>85.71</v>
      </c>
      <c r="H110">
        <v>0</v>
      </c>
      <c r="I110">
        <v>0</v>
      </c>
      <c r="J110">
        <v>0</v>
      </c>
      <c r="K110">
        <v>0</v>
      </c>
    </row>
    <row r="111" spans="1:11" x14ac:dyDescent="0.3">
      <c r="A111" t="s">
        <v>235</v>
      </c>
      <c r="B111" t="s">
        <v>85</v>
      </c>
      <c r="C111">
        <v>75</v>
      </c>
      <c r="D111">
        <v>45</v>
      </c>
      <c r="E111">
        <v>5</v>
      </c>
      <c r="F111">
        <v>4</v>
      </c>
      <c r="G111">
        <v>166.67</v>
      </c>
      <c r="H111">
        <v>0</v>
      </c>
      <c r="I111">
        <v>0</v>
      </c>
      <c r="J111">
        <v>0</v>
      </c>
      <c r="K111">
        <v>0</v>
      </c>
    </row>
    <row r="112" spans="1:11" x14ac:dyDescent="0.3">
      <c r="A112" t="s">
        <v>235</v>
      </c>
      <c r="B112" t="s">
        <v>45</v>
      </c>
      <c r="C112">
        <v>25</v>
      </c>
      <c r="D112">
        <v>18</v>
      </c>
      <c r="E112">
        <v>1</v>
      </c>
      <c r="F112">
        <v>1</v>
      </c>
      <c r="G112">
        <v>138.88999999999999</v>
      </c>
      <c r="H112">
        <v>4</v>
      </c>
      <c r="I112">
        <v>35</v>
      </c>
      <c r="J112">
        <v>1</v>
      </c>
      <c r="K112">
        <v>8.75</v>
      </c>
    </row>
    <row r="113" spans="1:11" x14ac:dyDescent="0.3">
      <c r="A113" t="s">
        <v>236</v>
      </c>
      <c r="B113" t="s">
        <v>36</v>
      </c>
      <c r="C113">
        <v>48</v>
      </c>
      <c r="D113">
        <v>32</v>
      </c>
      <c r="E113">
        <v>4</v>
      </c>
      <c r="F113">
        <v>1</v>
      </c>
      <c r="G113">
        <v>150</v>
      </c>
      <c r="H113">
        <v>0</v>
      </c>
      <c r="I113">
        <v>0</v>
      </c>
      <c r="J113">
        <v>0</v>
      </c>
      <c r="K113">
        <v>0</v>
      </c>
    </row>
    <row r="114" spans="1:11" x14ac:dyDescent="0.3">
      <c r="A114" t="s">
        <v>236</v>
      </c>
      <c r="B114" t="s">
        <v>15</v>
      </c>
      <c r="C114">
        <v>0</v>
      </c>
      <c r="D114">
        <v>0</v>
      </c>
      <c r="E114">
        <v>0</v>
      </c>
      <c r="F114">
        <v>0</v>
      </c>
      <c r="G114">
        <v>0</v>
      </c>
      <c r="H114">
        <v>4</v>
      </c>
      <c r="I114">
        <v>30</v>
      </c>
      <c r="J114">
        <v>2</v>
      </c>
      <c r="K114">
        <v>7.5</v>
      </c>
    </row>
    <row r="115" spans="1:11" x14ac:dyDescent="0.3">
      <c r="A115" t="s">
        <v>237</v>
      </c>
      <c r="B115" t="s">
        <v>42</v>
      </c>
      <c r="C115">
        <v>105</v>
      </c>
      <c r="D115">
        <v>60</v>
      </c>
      <c r="E115">
        <v>12</v>
      </c>
      <c r="F115">
        <v>3</v>
      </c>
      <c r="G115">
        <v>175</v>
      </c>
      <c r="H115">
        <v>0</v>
      </c>
      <c r="I115">
        <v>0</v>
      </c>
      <c r="J115">
        <v>0</v>
      </c>
      <c r="K115">
        <v>0</v>
      </c>
    </row>
    <row r="116" spans="1:11" x14ac:dyDescent="0.3">
      <c r="A116" t="s">
        <v>237</v>
      </c>
      <c r="B116" t="s">
        <v>69</v>
      </c>
      <c r="C116">
        <v>0</v>
      </c>
      <c r="D116">
        <v>0</v>
      </c>
      <c r="E116">
        <v>0</v>
      </c>
      <c r="F116">
        <v>0</v>
      </c>
      <c r="G116">
        <v>0</v>
      </c>
      <c r="H116">
        <v>4</v>
      </c>
      <c r="I116">
        <v>40</v>
      </c>
      <c r="J116">
        <v>1</v>
      </c>
      <c r="K116">
        <v>10</v>
      </c>
    </row>
    <row r="117" spans="1:11" x14ac:dyDescent="0.3">
      <c r="A117" t="s">
        <v>238</v>
      </c>
      <c r="B117" t="s">
        <v>8</v>
      </c>
      <c r="C117">
        <v>88</v>
      </c>
      <c r="D117">
        <v>48</v>
      </c>
      <c r="E117">
        <v>9</v>
      </c>
      <c r="F117">
        <v>4</v>
      </c>
      <c r="G117">
        <v>183.33</v>
      </c>
      <c r="H117">
        <v>0</v>
      </c>
      <c r="I117">
        <v>0</v>
      </c>
      <c r="J117">
        <v>0</v>
      </c>
      <c r="K117">
        <v>0</v>
      </c>
    </row>
    <row r="118" spans="1:11" x14ac:dyDescent="0.3">
      <c r="A118" t="s">
        <v>238</v>
      </c>
      <c r="B118" t="s">
        <v>78</v>
      </c>
      <c r="C118">
        <v>0</v>
      </c>
      <c r="D118">
        <v>0</v>
      </c>
      <c r="E118">
        <v>0</v>
      </c>
      <c r="F118">
        <v>0</v>
      </c>
      <c r="G118">
        <v>0</v>
      </c>
      <c r="H118">
        <v>4</v>
      </c>
      <c r="I118">
        <v>30</v>
      </c>
      <c r="J118">
        <v>1</v>
      </c>
      <c r="K118">
        <v>7.5</v>
      </c>
    </row>
    <row r="119" spans="1:11" x14ac:dyDescent="0.3">
      <c r="A119" t="s">
        <v>239</v>
      </c>
      <c r="B119" t="s">
        <v>96</v>
      </c>
      <c r="C119">
        <v>65</v>
      </c>
      <c r="D119">
        <v>40</v>
      </c>
      <c r="E119">
        <v>6</v>
      </c>
      <c r="F119">
        <v>2</v>
      </c>
      <c r="G119">
        <v>162.5</v>
      </c>
      <c r="H119">
        <v>0</v>
      </c>
      <c r="I119">
        <v>0</v>
      </c>
      <c r="J119">
        <v>0</v>
      </c>
      <c r="K119">
        <v>0</v>
      </c>
    </row>
    <row r="120" spans="1:11" x14ac:dyDescent="0.3">
      <c r="A120" t="s">
        <v>239</v>
      </c>
      <c r="B120" t="s">
        <v>52</v>
      </c>
      <c r="C120">
        <v>10</v>
      </c>
      <c r="D120">
        <v>8</v>
      </c>
      <c r="E120">
        <v>0</v>
      </c>
      <c r="F120">
        <v>1</v>
      </c>
      <c r="G120">
        <v>125</v>
      </c>
      <c r="H120">
        <v>0</v>
      </c>
      <c r="I120">
        <v>0</v>
      </c>
      <c r="J120">
        <v>0</v>
      </c>
      <c r="K120">
        <v>0</v>
      </c>
    </row>
    <row r="121" spans="1:11" x14ac:dyDescent="0.3">
      <c r="A121" t="s">
        <v>240</v>
      </c>
      <c r="B121" t="s">
        <v>88</v>
      </c>
      <c r="C121">
        <v>0</v>
      </c>
      <c r="D121">
        <v>0</v>
      </c>
      <c r="E121">
        <v>0</v>
      </c>
      <c r="F121">
        <v>0</v>
      </c>
      <c r="G121">
        <v>0</v>
      </c>
      <c r="H121">
        <v>4</v>
      </c>
      <c r="I121">
        <v>22</v>
      </c>
      <c r="J121">
        <v>3</v>
      </c>
      <c r="K121">
        <v>5.5</v>
      </c>
    </row>
    <row r="122" spans="1:11" x14ac:dyDescent="0.3">
      <c r="A122" t="s">
        <v>240</v>
      </c>
      <c r="B122" t="s">
        <v>19</v>
      </c>
      <c r="C122">
        <v>40</v>
      </c>
      <c r="D122">
        <v>30</v>
      </c>
      <c r="E122">
        <v>4</v>
      </c>
      <c r="F122">
        <v>1</v>
      </c>
      <c r="G122">
        <v>133.33000000000001</v>
      </c>
      <c r="H122">
        <v>0</v>
      </c>
      <c r="I122">
        <v>0</v>
      </c>
      <c r="J122">
        <v>0</v>
      </c>
      <c r="K122">
        <v>0</v>
      </c>
    </row>
    <row r="123" spans="1:11" x14ac:dyDescent="0.3">
      <c r="A123" t="s">
        <v>258</v>
      </c>
      <c r="B123" t="s">
        <v>30</v>
      </c>
      <c r="C123">
        <v>60</v>
      </c>
      <c r="D123">
        <v>35</v>
      </c>
      <c r="E123">
        <v>7</v>
      </c>
      <c r="F123">
        <v>2</v>
      </c>
      <c r="G123">
        <v>171.43</v>
      </c>
      <c r="H123">
        <v>0</v>
      </c>
      <c r="I123">
        <v>0</v>
      </c>
      <c r="J123">
        <v>0</v>
      </c>
      <c r="K123">
        <v>0</v>
      </c>
    </row>
    <row r="124" spans="1:11" x14ac:dyDescent="0.3">
      <c r="A124" t="s">
        <v>259</v>
      </c>
      <c r="B124" t="s">
        <v>103</v>
      </c>
      <c r="C124">
        <v>75</v>
      </c>
      <c r="D124">
        <v>45</v>
      </c>
      <c r="E124">
        <v>8</v>
      </c>
      <c r="F124">
        <v>3</v>
      </c>
      <c r="G124">
        <v>166.67</v>
      </c>
      <c r="H124">
        <v>0</v>
      </c>
      <c r="I124">
        <v>0</v>
      </c>
      <c r="J124">
        <v>0</v>
      </c>
      <c r="K124">
        <v>0</v>
      </c>
    </row>
    <row r="125" spans="1:11" x14ac:dyDescent="0.3">
      <c r="A125" t="s">
        <v>260</v>
      </c>
      <c r="B125" t="s">
        <v>55</v>
      </c>
      <c r="C125">
        <v>45</v>
      </c>
      <c r="D125">
        <v>25</v>
      </c>
      <c r="E125">
        <v>3</v>
      </c>
      <c r="F125">
        <v>4</v>
      </c>
      <c r="G125">
        <v>180</v>
      </c>
      <c r="H125">
        <v>4</v>
      </c>
      <c r="I125">
        <v>35</v>
      </c>
      <c r="J125">
        <v>2</v>
      </c>
      <c r="K125">
        <v>8.75</v>
      </c>
    </row>
    <row r="126" spans="1:11" x14ac:dyDescent="0.3">
      <c r="A126" t="s">
        <v>261</v>
      </c>
      <c r="B126" t="s">
        <v>74</v>
      </c>
      <c r="C126">
        <v>90</v>
      </c>
      <c r="D126">
        <v>50</v>
      </c>
      <c r="E126">
        <v>9</v>
      </c>
      <c r="F126">
        <v>3</v>
      </c>
      <c r="G126">
        <v>180</v>
      </c>
      <c r="H126">
        <v>0</v>
      </c>
      <c r="I126">
        <v>0</v>
      </c>
      <c r="J126">
        <v>0</v>
      </c>
      <c r="K126">
        <v>0</v>
      </c>
    </row>
    <row r="127" spans="1:11" x14ac:dyDescent="0.3">
      <c r="A127" t="s">
        <v>262</v>
      </c>
      <c r="B127" t="s">
        <v>83</v>
      </c>
      <c r="C127">
        <v>50</v>
      </c>
      <c r="D127">
        <v>30</v>
      </c>
      <c r="E127">
        <v>5</v>
      </c>
      <c r="F127">
        <v>2</v>
      </c>
      <c r="G127">
        <v>166.67</v>
      </c>
      <c r="H127">
        <v>0</v>
      </c>
      <c r="I127">
        <v>0</v>
      </c>
      <c r="J127">
        <v>0</v>
      </c>
      <c r="K127">
        <v>0</v>
      </c>
    </row>
    <row r="128" spans="1:11" x14ac:dyDescent="0.3">
      <c r="A128" t="s">
        <v>263</v>
      </c>
      <c r="B128" t="s">
        <v>58</v>
      </c>
      <c r="C128">
        <v>25</v>
      </c>
      <c r="D128">
        <v>15</v>
      </c>
      <c r="E128">
        <v>2</v>
      </c>
      <c r="F128">
        <v>2</v>
      </c>
      <c r="G128">
        <v>166.67</v>
      </c>
      <c r="H128">
        <v>4</v>
      </c>
      <c r="I128">
        <v>20</v>
      </c>
      <c r="J128">
        <v>3</v>
      </c>
      <c r="K128">
        <v>5</v>
      </c>
    </row>
    <row r="129" spans="1:11" x14ac:dyDescent="0.3">
      <c r="A129" t="s">
        <v>264</v>
      </c>
      <c r="B129" t="s">
        <v>33</v>
      </c>
      <c r="C129">
        <v>0</v>
      </c>
      <c r="D129">
        <v>0</v>
      </c>
      <c r="E129">
        <v>0</v>
      </c>
      <c r="F129">
        <v>0</v>
      </c>
      <c r="G129">
        <v>0</v>
      </c>
      <c r="H129">
        <v>4</v>
      </c>
      <c r="I129">
        <v>25</v>
      </c>
      <c r="J129">
        <v>3</v>
      </c>
      <c r="K129">
        <v>6.25</v>
      </c>
    </row>
    <row r="130" spans="1:11" x14ac:dyDescent="0.3">
      <c r="A130" t="s">
        <v>265</v>
      </c>
      <c r="B130" t="s">
        <v>101</v>
      </c>
      <c r="C130">
        <v>40</v>
      </c>
      <c r="D130">
        <v>20</v>
      </c>
      <c r="E130">
        <v>4</v>
      </c>
      <c r="F130">
        <v>3</v>
      </c>
      <c r="G130">
        <v>200</v>
      </c>
      <c r="H130">
        <v>0</v>
      </c>
      <c r="I130">
        <v>0</v>
      </c>
      <c r="J130">
        <v>0</v>
      </c>
      <c r="K130">
        <v>0</v>
      </c>
    </row>
    <row r="131" spans="1:11" x14ac:dyDescent="0.3">
      <c r="A131" t="s">
        <v>266</v>
      </c>
      <c r="B131" t="s">
        <v>60</v>
      </c>
      <c r="C131">
        <v>0</v>
      </c>
      <c r="D131">
        <v>0</v>
      </c>
      <c r="E131">
        <v>0</v>
      </c>
      <c r="F131">
        <v>0</v>
      </c>
      <c r="G131">
        <v>0</v>
      </c>
      <c r="H131">
        <v>4</v>
      </c>
      <c r="I131">
        <v>22</v>
      </c>
      <c r="J131">
        <v>3</v>
      </c>
      <c r="K131">
        <v>5.5</v>
      </c>
    </row>
    <row r="132" spans="1:11" x14ac:dyDescent="0.3">
      <c r="A132" t="s">
        <v>267</v>
      </c>
      <c r="B132" t="s">
        <v>66</v>
      </c>
      <c r="C132">
        <v>0</v>
      </c>
      <c r="D132">
        <v>0</v>
      </c>
      <c r="E132">
        <v>0</v>
      </c>
      <c r="F132">
        <v>0</v>
      </c>
      <c r="G132">
        <v>0</v>
      </c>
      <c r="H132">
        <v>4</v>
      </c>
      <c r="I132">
        <v>15</v>
      </c>
      <c r="J132">
        <v>2</v>
      </c>
      <c r="K132">
        <v>3.75</v>
      </c>
    </row>
    <row r="133" spans="1:11" x14ac:dyDescent="0.3">
      <c r="A133" t="s">
        <v>268</v>
      </c>
      <c r="B133" t="s">
        <v>85</v>
      </c>
      <c r="C133">
        <v>65</v>
      </c>
      <c r="D133">
        <v>40</v>
      </c>
      <c r="E133">
        <v>6</v>
      </c>
      <c r="F133">
        <v>3</v>
      </c>
      <c r="G133">
        <v>162.5</v>
      </c>
      <c r="H133">
        <v>0</v>
      </c>
      <c r="I133">
        <v>0</v>
      </c>
      <c r="J133">
        <v>0</v>
      </c>
      <c r="K133">
        <v>0</v>
      </c>
    </row>
    <row r="134" spans="1:11" x14ac:dyDescent="0.3">
      <c r="A134" t="s">
        <v>269</v>
      </c>
      <c r="B134" t="s">
        <v>36</v>
      </c>
      <c r="C134">
        <v>55</v>
      </c>
      <c r="D134">
        <v>35</v>
      </c>
      <c r="E134">
        <v>5</v>
      </c>
      <c r="F134">
        <v>2</v>
      </c>
      <c r="G134">
        <v>157.13999999999999</v>
      </c>
      <c r="H134">
        <v>0</v>
      </c>
      <c r="I134">
        <v>0</v>
      </c>
      <c r="J134">
        <v>0</v>
      </c>
      <c r="K134">
        <v>0</v>
      </c>
    </row>
    <row r="135" spans="1:11" x14ac:dyDescent="0.3">
      <c r="A135" t="s">
        <v>270</v>
      </c>
      <c r="B135" t="s">
        <v>42</v>
      </c>
      <c r="C135">
        <v>85</v>
      </c>
      <c r="D135">
        <v>50</v>
      </c>
      <c r="E135">
        <v>8</v>
      </c>
      <c r="F135">
        <v>3</v>
      </c>
      <c r="G135">
        <v>170</v>
      </c>
      <c r="H135">
        <v>0</v>
      </c>
      <c r="I135">
        <v>0</v>
      </c>
      <c r="J135">
        <v>0</v>
      </c>
      <c r="K135">
        <v>0</v>
      </c>
    </row>
    <row r="136" spans="1:11" x14ac:dyDescent="0.3">
      <c r="A136" t="s">
        <v>271</v>
      </c>
      <c r="B136" t="s">
        <v>8</v>
      </c>
      <c r="C136">
        <v>70</v>
      </c>
      <c r="D136">
        <v>45</v>
      </c>
      <c r="E136">
        <v>7</v>
      </c>
      <c r="F136">
        <v>3</v>
      </c>
      <c r="G136">
        <v>155.56</v>
      </c>
      <c r="H136">
        <v>0</v>
      </c>
      <c r="I136">
        <v>0</v>
      </c>
      <c r="J136">
        <v>0</v>
      </c>
      <c r="K136">
        <v>0</v>
      </c>
    </row>
    <row r="137" spans="1:11" x14ac:dyDescent="0.3">
      <c r="A137" t="s">
        <v>272</v>
      </c>
      <c r="B137" t="s">
        <v>96</v>
      </c>
      <c r="C137">
        <v>55</v>
      </c>
      <c r="D137">
        <v>35</v>
      </c>
      <c r="E137">
        <v>5</v>
      </c>
      <c r="F137">
        <v>2</v>
      </c>
      <c r="G137">
        <v>157.13999999999999</v>
      </c>
      <c r="H137">
        <v>0</v>
      </c>
      <c r="I137">
        <v>0</v>
      </c>
      <c r="J137">
        <v>0</v>
      </c>
      <c r="K137">
        <v>0</v>
      </c>
    </row>
    <row r="138" spans="1:11" x14ac:dyDescent="0.3">
      <c r="A138" t="s">
        <v>273</v>
      </c>
      <c r="B138" t="s">
        <v>88</v>
      </c>
      <c r="C138">
        <v>0</v>
      </c>
      <c r="D138">
        <v>0</v>
      </c>
      <c r="E138">
        <v>0</v>
      </c>
      <c r="F138">
        <v>0</v>
      </c>
      <c r="G138">
        <v>0</v>
      </c>
      <c r="H138">
        <v>4</v>
      </c>
      <c r="I138">
        <v>28</v>
      </c>
      <c r="J138">
        <v>3</v>
      </c>
      <c r="K138">
        <v>7</v>
      </c>
    </row>
    <row r="139" spans="1:11" x14ac:dyDescent="0.3">
      <c r="A139" t="s">
        <v>274</v>
      </c>
      <c r="B139" t="s">
        <v>15</v>
      </c>
      <c r="C139">
        <v>0</v>
      </c>
      <c r="D139">
        <v>0</v>
      </c>
      <c r="E139">
        <v>0</v>
      </c>
      <c r="F139">
        <v>0</v>
      </c>
      <c r="G139">
        <v>0</v>
      </c>
      <c r="H139">
        <v>4</v>
      </c>
      <c r="I139">
        <v>25</v>
      </c>
      <c r="J139">
        <v>2</v>
      </c>
      <c r="K139">
        <v>6.25</v>
      </c>
    </row>
    <row r="140" spans="1:11" x14ac:dyDescent="0.3">
      <c r="A140" t="s">
        <v>275</v>
      </c>
      <c r="B140" t="s">
        <v>99</v>
      </c>
      <c r="C140">
        <v>0</v>
      </c>
      <c r="D140">
        <v>0</v>
      </c>
      <c r="E140">
        <v>0</v>
      </c>
      <c r="F140">
        <v>0</v>
      </c>
      <c r="G140">
        <v>0</v>
      </c>
      <c r="H140">
        <v>4</v>
      </c>
      <c r="I140">
        <v>35</v>
      </c>
      <c r="J140">
        <v>1</v>
      </c>
      <c r="K140">
        <v>8.75</v>
      </c>
    </row>
    <row r="141" spans="1:11" x14ac:dyDescent="0.3">
      <c r="A141" t="s">
        <v>276</v>
      </c>
      <c r="B141" t="s">
        <v>42</v>
      </c>
      <c r="C141">
        <v>90</v>
      </c>
      <c r="D141">
        <v>55</v>
      </c>
      <c r="E141">
        <v>9</v>
      </c>
      <c r="F141">
        <v>3</v>
      </c>
      <c r="G141">
        <v>163.63999999999999</v>
      </c>
      <c r="H141">
        <v>0</v>
      </c>
      <c r="I141">
        <v>0</v>
      </c>
      <c r="J141">
        <v>0</v>
      </c>
      <c r="K141">
        <v>0</v>
      </c>
    </row>
    <row r="142" spans="1:11" x14ac:dyDescent="0.3">
      <c r="A142" t="s">
        <v>277</v>
      </c>
      <c r="B142" t="s">
        <v>19</v>
      </c>
      <c r="C142">
        <v>45</v>
      </c>
      <c r="D142">
        <v>30</v>
      </c>
      <c r="E142">
        <v>4</v>
      </c>
      <c r="F142">
        <v>2</v>
      </c>
      <c r="G142">
        <v>150</v>
      </c>
      <c r="H142">
        <v>0</v>
      </c>
      <c r="I142">
        <v>0</v>
      </c>
      <c r="J142">
        <v>0</v>
      </c>
      <c r="K142">
        <v>0</v>
      </c>
    </row>
    <row r="143" spans="1:11" x14ac:dyDescent="0.3">
      <c r="A143" t="s">
        <v>278</v>
      </c>
      <c r="B143" t="s">
        <v>24</v>
      </c>
      <c r="C143">
        <v>50</v>
      </c>
      <c r="D143">
        <v>30</v>
      </c>
      <c r="E143">
        <v>5</v>
      </c>
      <c r="F143">
        <v>2</v>
      </c>
      <c r="G143">
        <v>166.67</v>
      </c>
      <c r="H143">
        <v>0</v>
      </c>
      <c r="I143">
        <v>0</v>
      </c>
      <c r="J143">
        <v>0</v>
      </c>
      <c r="K143">
        <v>0</v>
      </c>
    </row>
    <row r="144" spans="1:11" x14ac:dyDescent="0.3">
      <c r="A144" t="s">
        <v>279</v>
      </c>
      <c r="B144" t="s">
        <v>71</v>
      </c>
      <c r="C144">
        <v>0</v>
      </c>
      <c r="D144">
        <v>0</v>
      </c>
      <c r="E144">
        <v>0</v>
      </c>
      <c r="F144">
        <v>0</v>
      </c>
      <c r="G144">
        <v>0</v>
      </c>
      <c r="H144">
        <v>4</v>
      </c>
      <c r="I144">
        <v>20</v>
      </c>
      <c r="J144">
        <v>3</v>
      </c>
      <c r="K144">
        <v>5</v>
      </c>
    </row>
    <row r="145" spans="1:11" x14ac:dyDescent="0.3">
      <c r="A145" t="s">
        <v>280</v>
      </c>
      <c r="B145" t="s">
        <v>93</v>
      </c>
      <c r="C145">
        <v>0</v>
      </c>
      <c r="D145">
        <v>0</v>
      </c>
      <c r="E145">
        <v>0</v>
      </c>
      <c r="F145">
        <v>0</v>
      </c>
      <c r="G145">
        <v>0</v>
      </c>
      <c r="H145">
        <v>4</v>
      </c>
      <c r="I145">
        <v>22</v>
      </c>
      <c r="J145">
        <v>2</v>
      </c>
      <c r="K145">
        <v>5.5</v>
      </c>
    </row>
    <row r="146" spans="1:11" x14ac:dyDescent="0.3">
      <c r="A146" t="s">
        <v>281</v>
      </c>
      <c r="B146" t="s">
        <v>55</v>
      </c>
      <c r="C146">
        <v>80</v>
      </c>
      <c r="D146">
        <v>40</v>
      </c>
      <c r="E146">
        <v>8</v>
      </c>
      <c r="F146">
        <v>4</v>
      </c>
      <c r="G146">
        <v>200</v>
      </c>
      <c r="H146">
        <v>4</v>
      </c>
      <c r="I146">
        <v>30</v>
      </c>
      <c r="J146">
        <v>1</v>
      </c>
      <c r="K146">
        <v>7.5</v>
      </c>
    </row>
    <row r="147" spans="1:11" x14ac:dyDescent="0.3">
      <c r="A147" t="s">
        <v>282</v>
      </c>
      <c r="B147" t="s">
        <v>101</v>
      </c>
      <c r="C147">
        <v>65</v>
      </c>
      <c r="D147">
        <v>35</v>
      </c>
      <c r="E147">
        <v>6</v>
      </c>
      <c r="F147">
        <v>4</v>
      </c>
      <c r="G147">
        <v>185.71</v>
      </c>
      <c r="H147">
        <v>0</v>
      </c>
      <c r="I147">
        <v>0</v>
      </c>
      <c r="J147">
        <v>0</v>
      </c>
      <c r="K147">
        <v>0</v>
      </c>
    </row>
    <row r="148" spans="1:11" x14ac:dyDescent="0.3">
      <c r="A148" t="s">
        <v>283</v>
      </c>
      <c r="B148" t="s">
        <v>27</v>
      </c>
      <c r="C148">
        <v>40</v>
      </c>
      <c r="D148">
        <v>25</v>
      </c>
      <c r="E148">
        <v>3</v>
      </c>
      <c r="F148">
        <v>2</v>
      </c>
      <c r="G148">
        <v>160</v>
      </c>
      <c r="H148">
        <v>4</v>
      </c>
      <c r="I148">
        <v>30</v>
      </c>
      <c r="J148">
        <v>2</v>
      </c>
      <c r="K148">
        <v>7.5</v>
      </c>
    </row>
    <row r="149" spans="1:11" x14ac:dyDescent="0.3">
      <c r="A149" t="s">
        <v>284</v>
      </c>
      <c r="B149" t="s">
        <v>80</v>
      </c>
      <c r="C149">
        <v>0</v>
      </c>
      <c r="D149">
        <v>0</v>
      </c>
      <c r="E149">
        <v>0</v>
      </c>
      <c r="F149">
        <v>0</v>
      </c>
      <c r="G149">
        <v>0</v>
      </c>
      <c r="H149">
        <v>3.5</v>
      </c>
      <c r="I149">
        <v>15</v>
      </c>
      <c r="J149">
        <v>3</v>
      </c>
      <c r="K149">
        <v>3.86</v>
      </c>
    </row>
    <row r="150" spans="1:11" x14ac:dyDescent="0.3">
      <c r="A150" t="s">
        <v>285</v>
      </c>
      <c r="B150" t="s">
        <v>69</v>
      </c>
      <c r="C150">
        <v>55</v>
      </c>
      <c r="D150">
        <v>30</v>
      </c>
      <c r="E150">
        <v>5</v>
      </c>
      <c r="F150">
        <v>3</v>
      </c>
      <c r="G150">
        <v>183.33</v>
      </c>
      <c r="H150">
        <v>0</v>
      </c>
      <c r="I150">
        <v>0</v>
      </c>
      <c r="J150">
        <v>0</v>
      </c>
      <c r="K150">
        <v>0</v>
      </c>
    </row>
    <row r="151" spans="1:11" x14ac:dyDescent="0.3">
      <c r="A151" t="s">
        <v>286</v>
      </c>
      <c r="B151" t="s">
        <v>42</v>
      </c>
      <c r="C151">
        <v>70</v>
      </c>
      <c r="D151">
        <v>40</v>
      </c>
      <c r="E151">
        <v>7</v>
      </c>
      <c r="F151">
        <v>3</v>
      </c>
      <c r="G151">
        <v>175</v>
      </c>
      <c r="H151">
        <v>0</v>
      </c>
      <c r="I151">
        <v>0</v>
      </c>
      <c r="J151">
        <v>0</v>
      </c>
      <c r="K151">
        <v>0</v>
      </c>
    </row>
    <row r="152" spans="1:11" x14ac:dyDescent="0.3">
      <c r="A152" t="s">
        <v>287</v>
      </c>
      <c r="B152" t="s">
        <v>83</v>
      </c>
      <c r="C152">
        <v>60</v>
      </c>
      <c r="D152">
        <v>40</v>
      </c>
      <c r="E152">
        <v>6</v>
      </c>
      <c r="F152">
        <v>2</v>
      </c>
      <c r="G152">
        <v>150</v>
      </c>
      <c r="H152">
        <v>0</v>
      </c>
      <c r="I152">
        <v>0</v>
      </c>
      <c r="J152">
        <v>0</v>
      </c>
      <c r="K152">
        <v>0</v>
      </c>
    </row>
    <row r="153" spans="1:11" x14ac:dyDescent="0.3">
      <c r="A153" t="s">
        <v>288</v>
      </c>
      <c r="B153" t="s">
        <v>96</v>
      </c>
      <c r="C153">
        <v>80</v>
      </c>
      <c r="D153">
        <v>45</v>
      </c>
      <c r="E153">
        <v>8</v>
      </c>
      <c r="F153">
        <v>3</v>
      </c>
      <c r="G153">
        <v>177.78</v>
      </c>
      <c r="H153">
        <v>0</v>
      </c>
      <c r="I153">
        <v>0</v>
      </c>
      <c r="J153">
        <v>0</v>
      </c>
      <c r="K153">
        <v>0</v>
      </c>
    </row>
    <row r="154" spans="1:11" x14ac:dyDescent="0.3">
      <c r="A154" t="s">
        <v>289</v>
      </c>
      <c r="B154" t="s">
        <v>15</v>
      </c>
      <c r="C154">
        <v>0</v>
      </c>
      <c r="D154">
        <v>0</v>
      </c>
      <c r="E154">
        <v>0</v>
      </c>
      <c r="F154">
        <v>0</v>
      </c>
      <c r="G154">
        <v>0</v>
      </c>
      <c r="H154">
        <v>4</v>
      </c>
      <c r="I154">
        <v>28</v>
      </c>
      <c r="J154">
        <v>3</v>
      </c>
      <c r="K154">
        <v>7</v>
      </c>
    </row>
    <row r="155" spans="1:11" x14ac:dyDescent="0.3">
      <c r="A155" t="s">
        <v>290</v>
      </c>
      <c r="B155" t="s">
        <v>45</v>
      </c>
      <c r="C155">
        <v>0</v>
      </c>
      <c r="D155">
        <v>0</v>
      </c>
      <c r="E155">
        <v>0</v>
      </c>
      <c r="F155">
        <v>0</v>
      </c>
      <c r="G155">
        <v>0</v>
      </c>
      <c r="H155">
        <v>4</v>
      </c>
      <c r="I155">
        <v>30</v>
      </c>
      <c r="J155">
        <v>2</v>
      </c>
      <c r="K155">
        <v>7.5</v>
      </c>
    </row>
    <row r="156" spans="1:11" x14ac:dyDescent="0.3">
      <c r="A156" t="s">
        <v>291</v>
      </c>
      <c r="B156" t="s">
        <v>19</v>
      </c>
      <c r="C156">
        <v>50</v>
      </c>
      <c r="D156">
        <v>35</v>
      </c>
      <c r="E156">
        <v>5</v>
      </c>
      <c r="F156">
        <v>2</v>
      </c>
      <c r="G156">
        <v>142.86000000000001</v>
      </c>
      <c r="H156">
        <v>0</v>
      </c>
      <c r="I156">
        <v>0</v>
      </c>
      <c r="J156">
        <v>0</v>
      </c>
      <c r="K156">
        <v>0</v>
      </c>
    </row>
    <row r="157" spans="1:11" x14ac:dyDescent="0.3">
      <c r="A157" t="s">
        <v>292</v>
      </c>
      <c r="B157" t="s">
        <v>103</v>
      </c>
      <c r="C157">
        <v>60</v>
      </c>
      <c r="D157">
        <v>40</v>
      </c>
      <c r="E157">
        <v>6</v>
      </c>
      <c r="F157">
        <v>2</v>
      </c>
      <c r="G157">
        <v>150</v>
      </c>
      <c r="H157">
        <v>0</v>
      </c>
      <c r="I157">
        <v>0</v>
      </c>
      <c r="J157">
        <v>0</v>
      </c>
      <c r="K157">
        <v>0</v>
      </c>
    </row>
    <row r="158" spans="1:11" x14ac:dyDescent="0.3">
      <c r="A158" t="s">
        <v>293</v>
      </c>
      <c r="B158" t="s">
        <v>52</v>
      </c>
      <c r="C158">
        <v>50</v>
      </c>
      <c r="D158">
        <v>30</v>
      </c>
      <c r="E158">
        <v>5</v>
      </c>
      <c r="F158">
        <v>2</v>
      </c>
      <c r="G158">
        <v>166.67</v>
      </c>
      <c r="H158">
        <v>0</v>
      </c>
      <c r="I158">
        <v>0</v>
      </c>
      <c r="J158">
        <v>0</v>
      </c>
      <c r="K158">
        <v>0</v>
      </c>
    </row>
    <row r="159" spans="1:11" x14ac:dyDescent="0.3">
      <c r="A159" t="s">
        <v>294</v>
      </c>
      <c r="B159" t="s">
        <v>30</v>
      </c>
      <c r="C159">
        <v>70</v>
      </c>
      <c r="D159">
        <v>40</v>
      </c>
      <c r="E159">
        <v>7</v>
      </c>
      <c r="F159">
        <v>3</v>
      </c>
      <c r="G159">
        <v>175</v>
      </c>
      <c r="H159">
        <v>0</v>
      </c>
      <c r="I159">
        <v>0</v>
      </c>
      <c r="J159">
        <v>0</v>
      </c>
      <c r="K159">
        <v>0</v>
      </c>
    </row>
    <row r="160" spans="1:11" x14ac:dyDescent="0.3">
      <c r="A160" t="s">
        <v>295</v>
      </c>
      <c r="B160" t="s">
        <v>74</v>
      </c>
      <c r="C160">
        <v>55</v>
      </c>
      <c r="D160">
        <v>35</v>
      </c>
      <c r="E160">
        <v>5</v>
      </c>
      <c r="F160">
        <v>2</v>
      </c>
      <c r="G160">
        <v>157.13999999999999</v>
      </c>
      <c r="H160">
        <v>0</v>
      </c>
      <c r="I160">
        <v>0</v>
      </c>
      <c r="J160">
        <v>0</v>
      </c>
      <c r="K160">
        <v>0</v>
      </c>
    </row>
    <row r="161" spans="1:11" x14ac:dyDescent="0.3">
      <c r="A161" t="s">
        <v>296</v>
      </c>
      <c r="B161" t="s">
        <v>55</v>
      </c>
      <c r="C161">
        <v>60</v>
      </c>
      <c r="D161">
        <v>30</v>
      </c>
      <c r="E161">
        <v>6</v>
      </c>
      <c r="F161">
        <v>4</v>
      </c>
      <c r="G161">
        <v>200</v>
      </c>
      <c r="H161">
        <v>4</v>
      </c>
      <c r="I161">
        <v>40</v>
      </c>
      <c r="J161">
        <v>1</v>
      </c>
      <c r="K161">
        <v>10</v>
      </c>
    </row>
    <row r="162" spans="1:11" x14ac:dyDescent="0.3">
      <c r="A162" t="s">
        <v>297</v>
      </c>
      <c r="B162" t="s">
        <v>88</v>
      </c>
      <c r="C162">
        <v>0</v>
      </c>
      <c r="D162">
        <v>0</v>
      </c>
      <c r="E162">
        <v>0</v>
      </c>
      <c r="F162">
        <v>0</v>
      </c>
      <c r="G162">
        <v>0</v>
      </c>
      <c r="H162">
        <v>4</v>
      </c>
      <c r="I162">
        <v>32</v>
      </c>
      <c r="J162">
        <v>2</v>
      </c>
      <c r="K162">
        <v>8</v>
      </c>
    </row>
    <row r="163" spans="1:11" x14ac:dyDescent="0.3">
      <c r="A163" t="s">
        <v>298</v>
      </c>
      <c r="B163" t="s">
        <v>74</v>
      </c>
      <c r="C163">
        <v>85</v>
      </c>
      <c r="D163">
        <v>45</v>
      </c>
      <c r="E163">
        <v>8</v>
      </c>
      <c r="F163">
        <v>4</v>
      </c>
      <c r="G163">
        <v>188.89</v>
      </c>
      <c r="H163">
        <v>0</v>
      </c>
      <c r="I163">
        <v>0</v>
      </c>
      <c r="J163">
        <v>0</v>
      </c>
      <c r="K163">
        <v>0</v>
      </c>
    </row>
    <row r="164" spans="1:11" x14ac:dyDescent="0.3">
      <c r="A164" t="s">
        <v>299</v>
      </c>
      <c r="B164" t="s">
        <v>15</v>
      </c>
      <c r="C164">
        <v>0</v>
      </c>
      <c r="D164">
        <v>0</v>
      </c>
      <c r="E164">
        <v>0</v>
      </c>
      <c r="F164">
        <v>0</v>
      </c>
      <c r="G164">
        <v>0</v>
      </c>
      <c r="H164">
        <v>4</v>
      </c>
      <c r="I164">
        <v>25</v>
      </c>
      <c r="J164">
        <v>3</v>
      </c>
      <c r="K164">
        <v>6.25</v>
      </c>
    </row>
    <row r="165" spans="1:11" x14ac:dyDescent="0.3">
      <c r="A165" t="s">
        <v>300</v>
      </c>
      <c r="B165" t="s">
        <v>83</v>
      </c>
      <c r="C165">
        <v>75</v>
      </c>
      <c r="D165">
        <v>40</v>
      </c>
      <c r="E165">
        <v>7</v>
      </c>
      <c r="F165">
        <v>3</v>
      </c>
      <c r="G165">
        <v>187.5</v>
      </c>
      <c r="H165">
        <v>0</v>
      </c>
      <c r="I165">
        <v>0</v>
      </c>
      <c r="J165">
        <v>0</v>
      </c>
      <c r="K165">
        <v>0</v>
      </c>
    </row>
    <row r="166" spans="1:11" x14ac:dyDescent="0.3">
      <c r="A166" t="s">
        <v>301</v>
      </c>
      <c r="B166" t="s">
        <v>42</v>
      </c>
      <c r="C166">
        <v>50</v>
      </c>
      <c r="D166">
        <v>30</v>
      </c>
      <c r="E166">
        <v>5</v>
      </c>
      <c r="F166">
        <v>2</v>
      </c>
      <c r="G166">
        <v>166.67</v>
      </c>
      <c r="H166">
        <v>0</v>
      </c>
      <c r="I166">
        <v>0</v>
      </c>
      <c r="J166">
        <v>0</v>
      </c>
      <c r="K166">
        <v>0</v>
      </c>
    </row>
    <row r="167" spans="1:11" x14ac:dyDescent="0.3">
      <c r="A167" t="s">
        <v>302</v>
      </c>
      <c r="B167" t="s">
        <v>58</v>
      </c>
      <c r="C167">
        <v>30</v>
      </c>
      <c r="D167">
        <v>15</v>
      </c>
      <c r="E167">
        <v>3</v>
      </c>
      <c r="F167">
        <v>2</v>
      </c>
      <c r="G167">
        <v>200</v>
      </c>
      <c r="H167">
        <v>4</v>
      </c>
      <c r="I167">
        <v>28</v>
      </c>
      <c r="J167">
        <v>2</v>
      </c>
      <c r="K167">
        <v>7</v>
      </c>
    </row>
    <row r="168" spans="1:11" x14ac:dyDescent="0.3">
      <c r="A168" t="s">
        <v>303</v>
      </c>
      <c r="B168" t="s">
        <v>71</v>
      </c>
      <c r="C168">
        <v>0</v>
      </c>
      <c r="D168">
        <v>0</v>
      </c>
      <c r="E168">
        <v>0</v>
      </c>
      <c r="F168">
        <v>0</v>
      </c>
      <c r="G168">
        <v>0</v>
      </c>
      <c r="H168">
        <v>4</v>
      </c>
      <c r="I168">
        <v>22</v>
      </c>
      <c r="J168">
        <v>2</v>
      </c>
      <c r="K168">
        <v>5.5</v>
      </c>
    </row>
    <row r="169" spans="1:11" x14ac:dyDescent="0.3">
      <c r="A169" t="s">
        <v>304</v>
      </c>
      <c r="B169" t="s">
        <v>33</v>
      </c>
      <c r="C169">
        <v>0</v>
      </c>
      <c r="D169">
        <v>0</v>
      </c>
      <c r="E169">
        <v>0</v>
      </c>
      <c r="F169">
        <v>0</v>
      </c>
      <c r="G169">
        <v>0</v>
      </c>
      <c r="H169">
        <v>4</v>
      </c>
      <c r="I169">
        <v>30</v>
      </c>
      <c r="J169">
        <v>2</v>
      </c>
      <c r="K169">
        <v>7.5</v>
      </c>
    </row>
    <row r="170" spans="1:11" x14ac:dyDescent="0.3">
      <c r="A170" t="s">
        <v>305</v>
      </c>
      <c r="B170" t="s">
        <v>85</v>
      </c>
      <c r="C170">
        <v>45</v>
      </c>
      <c r="D170">
        <v>30</v>
      </c>
      <c r="E170">
        <v>4</v>
      </c>
      <c r="F170">
        <v>2</v>
      </c>
      <c r="G170">
        <v>150</v>
      </c>
      <c r="H170">
        <v>0</v>
      </c>
      <c r="I170">
        <v>0</v>
      </c>
      <c r="J170">
        <v>0</v>
      </c>
      <c r="K170">
        <v>0</v>
      </c>
    </row>
    <row r="171" spans="1:11" x14ac:dyDescent="0.3">
      <c r="A171" t="s">
        <v>306</v>
      </c>
      <c r="B171" t="s">
        <v>101</v>
      </c>
      <c r="C171">
        <v>75</v>
      </c>
      <c r="D171">
        <v>40</v>
      </c>
      <c r="E171">
        <v>7</v>
      </c>
      <c r="F171">
        <v>4</v>
      </c>
      <c r="G171">
        <v>187.5</v>
      </c>
      <c r="H171">
        <v>0</v>
      </c>
      <c r="I171">
        <v>0</v>
      </c>
      <c r="J171">
        <v>0</v>
      </c>
      <c r="K171">
        <v>0</v>
      </c>
    </row>
    <row r="172" spans="1:11" x14ac:dyDescent="0.3">
      <c r="A172" t="s">
        <v>307</v>
      </c>
      <c r="B172" t="s">
        <v>27</v>
      </c>
      <c r="C172">
        <v>50</v>
      </c>
      <c r="D172">
        <v>30</v>
      </c>
      <c r="E172">
        <v>5</v>
      </c>
      <c r="F172">
        <v>2</v>
      </c>
      <c r="G172">
        <v>166.67</v>
      </c>
      <c r="H172">
        <v>4</v>
      </c>
      <c r="I172">
        <v>35</v>
      </c>
      <c r="J172">
        <v>1</v>
      </c>
      <c r="K172">
        <v>8.75</v>
      </c>
    </row>
    <row r="173" spans="1:11" x14ac:dyDescent="0.3">
      <c r="A173" t="s">
        <v>308</v>
      </c>
      <c r="B173" t="s">
        <v>80</v>
      </c>
      <c r="C173">
        <v>0</v>
      </c>
      <c r="D173">
        <v>0</v>
      </c>
      <c r="E173">
        <v>0</v>
      </c>
      <c r="F173">
        <v>0</v>
      </c>
      <c r="G173">
        <v>0</v>
      </c>
      <c r="H173">
        <v>4</v>
      </c>
      <c r="I173">
        <v>22</v>
      </c>
      <c r="J173">
        <v>3</v>
      </c>
      <c r="K173">
        <v>5.5</v>
      </c>
    </row>
    <row r="174" spans="1:11" x14ac:dyDescent="0.3">
      <c r="A174" t="s">
        <v>309</v>
      </c>
      <c r="B174" t="s">
        <v>103</v>
      </c>
      <c r="C174">
        <v>40</v>
      </c>
      <c r="D174">
        <v>25</v>
      </c>
      <c r="E174">
        <v>4</v>
      </c>
      <c r="F174">
        <v>1</v>
      </c>
      <c r="G174">
        <v>160</v>
      </c>
      <c r="H174">
        <v>0</v>
      </c>
      <c r="I174">
        <v>0</v>
      </c>
      <c r="J174">
        <v>0</v>
      </c>
      <c r="K174">
        <v>0</v>
      </c>
    </row>
    <row r="175" spans="1:11" x14ac:dyDescent="0.3">
      <c r="A175" t="s">
        <v>310</v>
      </c>
      <c r="B175" t="s">
        <v>42</v>
      </c>
      <c r="C175">
        <v>70</v>
      </c>
      <c r="D175">
        <v>45</v>
      </c>
      <c r="E175">
        <v>7</v>
      </c>
      <c r="F175">
        <v>2</v>
      </c>
      <c r="G175">
        <v>155.56</v>
      </c>
      <c r="H175">
        <v>0</v>
      </c>
      <c r="I175">
        <v>0</v>
      </c>
      <c r="J175">
        <v>0</v>
      </c>
      <c r="K175">
        <v>0</v>
      </c>
    </row>
    <row r="176" spans="1:11" x14ac:dyDescent="0.3">
      <c r="A176" t="s">
        <v>311</v>
      </c>
      <c r="B176" t="s">
        <v>58</v>
      </c>
      <c r="C176">
        <v>20</v>
      </c>
      <c r="D176">
        <v>10</v>
      </c>
      <c r="E176">
        <v>2</v>
      </c>
      <c r="F176">
        <v>1</v>
      </c>
      <c r="G176">
        <v>200</v>
      </c>
      <c r="H176">
        <v>4</v>
      </c>
      <c r="I176">
        <v>25</v>
      </c>
      <c r="J176">
        <v>3</v>
      </c>
      <c r="K176">
        <v>6.25</v>
      </c>
    </row>
    <row r="177" spans="1:11" x14ac:dyDescent="0.3">
      <c r="A177" t="s">
        <v>312</v>
      </c>
      <c r="B177" t="s">
        <v>69</v>
      </c>
      <c r="C177">
        <v>60</v>
      </c>
      <c r="D177">
        <v>35</v>
      </c>
      <c r="E177">
        <v>6</v>
      </c>
      <c r="F177">
        <v>3</v>
      </c>
      <c r="G177">
        <v>171.43</v>
      </c>
      <c r="H177">
        <v>0</v>
      </c>
      <c r="I177">
        <v>0</v>
      </c>
      <c r="J177">
        <v>0</v>
      </c>
      <c r="K177">
        <v>0</v>
      </c>
    </row>
    <row r="178" spans="1:11" x14ac:dyDescent="0.3">
      <c r="A178" t="s">
        <v>313</v>
      </c>
      <c r="B178" t="s">
        <v>66</v>
      </c>
      <c r="C178">
        <v>0</v>
      </c>
      <c r="D178">
        <v>0</v>
      </c>
      <c r="E178">
        <v>0</v>
      </c>
      <c r="F178">
        <v>0</v>
      </c>
      <c r="G178">
        <v>0</v>
      </c>
      <c r="H178">
        <v>4</v>
      </c>
      <c r="I178">
        <v>18</v>
      </c>
      <c r="J178">
        <v>3</v>
      </c>
      <c r="K178">
        <v>4.5</v>
      </c>
    </row>
    <row r="179" spans="1:11" x14ac:dyDescent="0.3">
      <c r="A179" t="s">
        <v>314</v>
      </c>
      <c r="B179" t="s">
        <v>30</v>
      </c>
      <c r="C179">
        <v>80</v>
      </c>
      <c r="D179">
        <v>45</v>
      </c>
      <c r="E179">
        <v>8</v>
      </c>
      <c r="F179">
        <v>4</v>
      </c>
      <c r="G179">
        <v>177.78</v>
      </c>
      <c r="H179">
        <v>0</v>
      </c>
      <c r="I179">
        <v>0</v>
      </c>
      <c r="J179">
        <v>0</v>
      </c>
      <c r="K179">
        <v>0</v>
      </c>
    </row>
    <row r="180" spans="1:11" x14ac:dyDescent="0.3">
      <c r="A180" t="s">
        <v>315</v>
      </c>
      <c r="B180" t="s">
        <v>78</v>
      </c>
      <c r="C180">
        <v>0</v>
      </c>
      <c r="D180">
        <v>0</v>
      </c>
      <c r="E180">
        <v>0</v>
      </c>
      <c r="F180">
        <v>0</v>
      </c>
      <c r="G180">
        <v>0</v>
      </c>
      <c r="H180">
        <v>4</v>
      </c>
      <c r="I180">
        <v>30</v>
      </c>
      <c r="J180">
        <v>2</v>
      </c>
      <c r="K180">
        <v>7.5</v>
      </c>
    </row>
    <row r="181" spans="1:11" x14ac:dyDescent="0.3">
      <c r="A181" t="s">
        <v>316</v>
      </c>
      <c r="B181" t="s">
        <v>47</v>
      </c>
      <c r="C181">
        <v>50</v>
      </c>
      <c r="D181">
        <v>25</v>
      </c>
      <c r="E181">
        <v>5</v>
      </c>
      <c r="F181">
        <v>3</v>
      </c>
      <c r="G181">
        <v>200</v>
      </c>
      <c r="H181">
        <v>0</v>
      </c>
      <c r="I181">
        <v>0</v>
      </c>
      <c r="J181">
        <v>0</v>
      </c>
      <c r="K181">
        <v>0</v>
      </c>
    </row>
    <row r="182" spans="1:11" x14ac:dyDescent="0.3">
      <c r="A182" t="s">
        <v>317</v>
      </c>
      <c r="B182" t="s">
        <v>60</v>
      </c>
      <c r="C182">
        <v>0</v>
      </c>
      <c r="D182">
        <v>0</v>
      </c>
      <c r="E182">
        <v>0</v>
      </c>
      <c r="F182">
        <v>0</v>
      </c>
      <c r="G182">
        <v>0</v>
      </c>
      <c r="H182">
        <v>4</v>
      </c>
      <c r="I182">
        <v>28</v>
      </c>
      <c r="J182">
        <v>2</v>
      </c>
      <c r="K182">
        <v>7</v>
      </c>
    </row>
    <row r="183" spans="1:11" x14ac:dyDescent="0.3">
      <c r="A183" t="s">
        <v>318</v>
      </c>
      <c r="B183" t="s">
        <v>83</v>
      </c>
      <c r="C183">
        <v>70</v>
      </c>
      <c r="D183">
        <v>40</v>
      </c>
      <c r="E183">
        <v>7</v>
      </c>
      <c r="F183">
        <v>3</v>
      </c>
      <c r="G183">
        <v>175</v>
      </c>
      <c r="H183">
        <v>0</v>
      </c>
      <c r="I183">
        <v>0</v>
      </c>
      <c r="J183">
        <v>0</v>
      </c>
      <c r="K183">
        <v>0</v>
      </c>
    </row>
    <row r="184" spans="1:11" x14ac:dyDescent="0.3">
      <c r="A184" t="s">
        <v>319</v>
      </c>
      <c r="B184" t="s">
        <v>93</v>
      </c>
      <c r="C184">
        <v>0</v>
      </c>
      <c r="D184">
        <v>0</v>
      </c>
      <c r="E184">
        <v>0</v>
      </c>
      <c r="F184">
        <v>0</v>
      </c>
      <c r="G184">
        <v>0</v>
      </c>
      <c r="H184">
        <v>4</v>
      </c>
      <c r="I184">
        <v>35</v>
      </c>
      <c r="J184">
        <v>1</v>
      </c>
      <c r="K184">
        <v>8.75</v>
      </c>
    </row>
    <row r="185" spans="1:11" x14ac:dyDescent="0.3">
      <c r="A185" t="s">
        <v>320</v>
      </c>
      <c r="B185" t="s">
        <v>96</v>
      </c>
      <c r="C185">
        <v>85</v>
      </c>
      <c r="D185">
        <v>50</v>
      </c>
      <c r="E185">
        <v>8</v>
      </c>
      <c r="F185">
        <v>4</v>
      </c>
      <c r="G185">
        <v>170</v>
      </c>
      <c r="H185">
        <v>0</v>
      </c>
      <c r="I185">
        <v>0</v>
      </c>
      <c r="J185">
        <v>0</v>
      </c>
      <c r="K185">
        <v>0</v>
      </c>
    </row>
    <row r="186" spans="1:11" x14ac:dyDescent="0.3">
      <c r="A186" t="s">
        <v>321</v>
      </c>
      <c r="B186" t="s">
        <v>15</v>
      </c>
      <c r="C186">
        <v>0</v>
      </c>
      <c r="D186">
        <v>0</v>
      </c>
      <c r="E186">
        <v>0</v>
      </c>
      <c r="F186">
        <v>0</v>
      </c>
      <c r="G186">
        <v>0</v>
      </c>
      <c r="H186">
        <v>4</v>
      </c>
      <c r="I186">
        <v>22</v>
      </c>
      <c r="J186">
        <v>3</v>
      </c>
      <c r="K186">
        <v>5.5</v>
      </c>
    </row>
    <row r="187" spans="1:11" x14ac:dyDescent="0.3">
      <c r="A187" t="s">
        <v>322</v>
      </c>
      <c r="B187" t="s">
        <v>45</v>
      </c>
      <c r="C187">
        <v>0</v>
      </c>
      <c r="D187">
        <v>0</v>
      </c>
      <c r="E187">
        <v>0</v>
      </c>
      <c r="F187">
        <v>0</v>
      </c>
      <c r="G187">
        <v>0</v>
      </c>
      <c r="H187">
        <v>4</v>
      </c>
      <c r="I187">
        <v>30</v>
      </c>
      <c r="J187">
        <v>2</v>
      </c>
      <c r="K187">
        <v>7.5</v>
      </c>
    </row>
    <row r="188" spans="1:11" x14ac:dyDescent="0.3">
      <c r="A188" t="s">
        <v>323</v>
      </c>
      <c r="B188" t="s">
        <v>19</v>
      </c>
      <c r="C188">
        <v>60</v>
      </c>
      <c r="D188">
        <v>35</v>
      </c>
      <c r="E188">
        <v>6</v>
      </c>
      <c r="F188">
        <v>2</v>
      </c>
      <c r="G188">
        <v>171.43</v>
      </c>
      <c r="H188">
        <v>0</v>
      </c>
      <c r="I188">
        <v>0</v>
      </c>
      <c r="J188">
        <v>0</v>
      </c>
      <c r="K188">
        <v>0</v>
      </c>
    </row>
    <row r="189" spans="1:11" x14ac:dyDescent="0.3">
      <c r="A189" t="s">
        <v>324</v>
      </c>
      <c r="B189" t="s">
        <v>88</v>
      </c>
      <c r="C189">
        <v>0</v>
      </c>
      <c r="D189">
        <v>0</v>
      </c>
      <c r="E189">
        <v>0</v>
      </c>
      <c r="F189">
        <v>0</v>
      </c>
      <c r="G189">
        <v>0</v>
      </c>
      <c r="H189">
        <v>4</v>
      </c>
      <c r="I189">
        <v>30</v>
      </c>
      <c r="J189">
        <v>3</v>
      </c>
      <c r="K189">
        <v>7.5</v>
      </c>
    </row>
    <row r="190" spans="1:11" x14ac:dyDescent="0.3">
      <c r="A190" t="s">
        <v>325</v>
      </c>
      <c r="B190" t="s">
        <v>8</v>
      </c>
      <c r="C190">
        <v>75</v>
      </c>
      <c r="D190">
        <v>45</v>
      </c>
      <c r="E190">
        <v>7</v>
      </c>
      <c r="F190">
        <v>3</v>
      </c>
      <c r="G190">
        <v>166.67</v>
      </c>
      <c r="H190">
        <v>0</v>
      </c>
      <c r="I190">
        <v>0</v>
      </c>
      <c r="J190">
        <v>0</v>
      </c>
      <c r="K190">
        <v>0</v>
      </c>
    </row>
    <row r="191" spans="1:11" x14ac:dyDescent="0.3">
      <c r="A191" t="s">
        <v>326</v>
      </c>
      <c r="B191" t="s">
        <v>33</v>
      </c>
      <c r="C191">
        <v>0</v>
      </c>
      <c r="D191">
        <v>0</v>
      </c>
      <c r="E191">
        <v>0</v>
      </c>
      <c r="F191">
        <v>0</v>
      </c>
      <c r="G191">
        <v>0</v>
      </c>
      <c r="H191">
        <v>4</v>
      </c>
      <c r="I191">
        <v>28</v>
      </c>
      <c r="J191">
        <v>2</v>
      </c>
      <c r="K191">
        <v>7</v>
      </c>
    </row>
    <row r="192" spans="1:11" x14ac:dyDescent="0.3">
      <c r="A192" t="s">
        <v>327</v>
      </c>
      <c r="B192" t="s">
        <v>52</v>
      </c>
      <c r="C192">
        <v>65</v>
      </c>
      <c r="D192">
        <v>40</v>
      </c>
      <c r="E192">
        <v>6</v>
      </c>
      <c r="F192">
        <v>3</v>
      </c>
      <c r="G192">
        <v>162.5</v>
      </c>
      <c r="H192">
        <v>0</v>
      </c>
      <c r="I192">
        <v>0</v>
      </c>
      <c r="J192">
        <v>0</v>
      </c>
      <c r="K192">
        <v>0</v>
      </c>
    </row>
    <row r="193" spans="1:11" x14ac:dyDescent="0.3">
      <c r="A193" t="s">
        <v>328</v>
      </c>
      <c r="B193" t="s">
        <v>74</v>
      </c>
      <c r="C193">
        <v>95</v>
      </c>
      <c r="D193">
        <v>50</v>
      </c>
      <c r="E193">
        <v>10</v>
      </c>
      <c r="F193">
        <v>4</v>
      </c>
      <c r="G193">
        <v>190</v>
      </c>
      <c r="H193">
        <v>0</v>
      </c>
      <c r="I193">
        <v>0</v>
      </c>
      <c r="J193">
        <v>0</v>
      </c>
      <c r="K193">
        <v>0</v>
      </c>
    </row>
    <row r="194" spans="1:11" x14ac:dyDescent="0.3">
      <c r="A194" t="s">
        <v>329</v>
      </c>
      <c r="B194" t="s">
        <v>80</v>
      </c>
      <c r="C194">
        <v>0</v>
      </c>
      <c r="D194">
        <v>0</v>
      </c>
      <c r="E194">
        <v>0</v>
      </c>
      <c r="F194">
        <v>0</v>
      </c>
      <c r="G194">
        <v>0</v>
      </c>
      <c r="H194">
        <v>4</v>
      </c>
      <c r="I194">
        <v>25</v>
      </c>
      <c r="J194">
        <v>2</v>
      </c>
      <c r="K194">
        <v>6.25</v>
      </c>
    </row>
    <row r="195" spans="1:11" x14ac:dyDescent="0.3">
      <c r="A195" t="s">
        <v>330</v>
      </c>
      <c r="B195" t="s">
        <v>83</v>
      </c>
      <c r="C195">
        <v>80</v>
      </c>
      <c r="D195">
        <v>45</v>
      </c>
      <c r="E195">
        <v>8</v>
      </c>
      <c r="F195">
        <v>3</v>
      </c>
      <c r="G195">
        <v>177.78</v>
      </c>
      <c r="H195">
        <v>0</v>
      </c>
      <c r="I195">
        <v>0</v>
      </c>
      <c r="J195">
        <v>0</v>
      </c>
      <c r="K195">
        <v>0</v>
      </c>
    </row>
    <row r="196" spans="1:11" x14ac:dyDescent="0.3">
      <c r="A196" t="s">
        <v>331</v>
      </c>
      <c r="B196" t="s">
        <v>42</v>
      </c>
      <c r="C196">
        <v>45</v>
      </c>
      <c r="D196">
        <v>25</v>
      </c>
      <c r="E196">
        <v>4</v>
      </c>
      <c r="F196">
        <v>2</v>
      </c>
      <c r="G196">
        <v>180</v>
      </c>
      <c r="H196">
        <v>0</v>
      </c>
      <c r="I196">
        <v>0</v>
      </c>
      <c r="J196">
        <v>0</v>
      </c>
      <c r="K196">
        <v>0</v>
      </c>
    </row>
    <row r="197" spans="1:11" x14ac:dyDescent="0.3">
      <c r="A197" t="s">
        <v>332</v>
      </c>
      <c r="B197" t="s">
        <v>58</v>
      </c>
      <c r="C197">
        <v>35</v>
      </c>
      <c r="D197">
        <v>20</v>
      </c>
      <c r="E197">
        <v>4</v>
      </c>
      <c r="F197">
        <v>2</v>
      </c>
      <c r="G197">
        <v>175</v>
      </c>
      <c r="H197">
        <v>4</v>
      </c>
      <c r="I197">
        <v>30</v>
      </c>
      <c r="J197">
        <v>2</v>
      </c>
      <c r="K197">
        <v>7.5</v>
      </c>
    </row>
    <row r="198" spans="1:11" x14ac:dyDescent="0.3">
      <c r="A198" t="s">
        <v>333</v>
      </c>
      <c r="B198" t="s">
        <v>60</v>
      </c>
      <c r="C198">
        <v>0</v>
      </c>
      <c r="D198">
        <v>0</v>
      </c>
      <c r="E198">
        <v>0</v>
      </c>
      <c r="F198">
        <v>0</v>
      </c>
      <c r="G198">
        <v>0</v>
      </c>
      <c r="H198">
        <v>4</v>
      </c>
      <c r="I198">
        <v>25</v>
      </c>
      <c r="J198">
        <v>2</v>
      </c>
      <c r="K198">
        <v>6.25</v>
      </c>
    </row>
    <row r="199" spans="1:11" x14ac:dyDescent="0.3">
      <c r="A199" t="s">
        <v>334</v>
      </c>
      <c r="B199" t="s">
        <v>30</v>
      </c>
      <c r="C199">
        <v>90</v>
      </c>
      <c r="D199">
        <v>50</v>
      </c>
      <c r="E199">
        <v>9</v>
      </c>
      <c r="F199">
        <v>4</v>
      </c>
      <c r="G199">
        <v>180</v>
      </c>
      <c r="H199">
        <v>0</v>
      </c>
      <c r="I199">
        <v>0</v>
      </c>
      <c r="J199">
        <v>0</v>
      </c>
      <c r="K199">
        <v>0</v>
      </c>
    </row>
    <row r="200" spans="1:11" x14ac:dyDescent="0.3">
      <c r="A200" t="s">
        <v>335</v>
      </c>
      <c r="B200" t="s">
        <v>36</v>
      </c>
      <c r="C200">
        <v>50</v>
      </c>
      <c r="D200">
        <v>30</v>
      </c>
      <c r="E200">
        <v>5</v>
      </c>
      <c r="F200">
        <v>2</v>
      </c>
      <c r="G200">
        <v>166.67</v>
      </c>
      <c r="H200">
        <v>0</v>
      </c>
      <c r="I200">
        <v>0</v>
      </c>
      <c r="J200">
        <v>0</v>
      </c>
      <c r="K200">
        <v>0</v>
      </c>
    </row>
    <row r="201" spans="1:11" x14ac:dyDescent="0.3">
      <c r="A201" t="s">
        <v>336</v>
      </c>
      <c r="B201" t="s">
        <v>101</v>
      </c>
      <c r="C201">
        <v>80</v>
      </c>
      <c r="D201">
        <v>45</v>
      </c>
      <c r="E201">
        <v>8</v>
      </c>
      <c r="F201">
        <v>3</v>
      </c>
      <c r="G201">
        <v>177.78</v>
      </c>
      <c r="H201">
        <v>0</v>
      </c>
      <c r="I201">
        <v>0</v>
      </c>
      <c r="J201">
        <v>0</v>
      </c>
      <c r="K201">
        <v>0</v>
      </c>
    </row>
    <row r="202" spans="1:11" x14ac:dyDescent="0.3">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A14-2108-4854-8A1A-9640D0B1AB40}">
  <dimension ref="A1:D11"/>
  <sheetViews>
    <sheetView workbookViewId="0"/>
  </sheetViews>
  <sheetFormatPr defaultRowHeight="14.4" x14ac:dyDescent="0.3"/>
  <cols>
    <col min="1" max="1" width="10.88671875" bestFit="1" customWidth="1"/>
    <col min="2" max="2" width="50.21875" bestFit="1" customWidth="1"/>
    <col min="3" max="4" width="10.6640625" bestFit="1" customWidth="1"/>
  </cols>
  <sheetData>
    <row r="1" spans="1:4" x14ac:dyDescent="0.3">
      <c r="A1" t="s">
        <v>161</v>
      </c>
      <c r="B1" t="s">
        <v>241</v>
      </c>
      <c r="C1" t="s">
        <v>109</v>
      </c>
      <c r="D1" t="s">
        <v>242</v>
      </c>
    </row>
    <row r="2" spans="1:4" x14ac:dyDescent="0.3">
      <c r="A2" t="s">
        <v>187</v>
      </c>
      <c r="B2" t="s">
        <v>114</v>
      </c>
      <c r="C2" t="s">
        <v>115</v>
      </c>
      <c r="D2">
        <v>33108</v>
      </c>
    </row>
    <row r="3" spans="1:4" x14ac:dyDescent="0.3">
      <c r="A3" t="s">
        <v>174</v>
      </c>
      <c r="B3" t="s">
        <v>120</v>
      </c>
      <c r="C3" t="s">
        <v>121</v>
      </c>
      <c r="D3">
        <v>38000</v>
      </c>
    </row>
    <row r="4" spans="1:4" x14ac:dyDescent="0.3">
      <c r="A4" t="s">
        <v>182</v>
      </c>
      <c r="B4" t="s">
        <v>126</v>
      </c>
      <c r="C4" t="s">
        <v>127</v>
      </c>
      <c r="D4">
        <v>42000</v>
      </c>
    </row>
    <row r="5" spans="1:4" x14ac:dyDescent="0.3">
      <c r="A5" t="s">
        <v>178</v>
      </c>
      <c r="B5" t="s">
        <v>132</v>
      </c>
      <c r="C5" t="s">
        <v>133</v>
      </c>
      <c r="D5">
        <v>68000</v>
      </c>
    </row>
    <row r="6" spans="1:4" x14ac:dyDescent="0.3">
      <c r="A6" t="s">
        <v>184</v>
      </c>
      <c r="B6" t="s">
        <v>138</v>
      </c>
      <c r="C6" t="s">
        <v>139</v>
      </c>
      <c r="D6">
        <v>41820</v>
      </c>
    </row>
    <row r="7" spans="1:4" x14ac:dyDescent="0.3">
      <c r="A7" t="s">
        <v>180</v>
      </c>
      <c r="B7" t="s">
        <v>144</v>
      </c>
      <c r="C7" t="s">
        <v>145</v>
      </c>
      <c r="D7">
        <v>30000</v>
      </c>
    </row>
    <row r="8" spans="1:4" x14ac:dyDescent="0.3">
      <c r="A8" t="s">
        <v>191</v>
      </c>
      <c r="B8" t="s">
        <v>150</v>
      </c>
      <c r="C8" t="s">
        <v>151</v>
      </c>
      <c r="D8">
        <v>38000</v>
      </c>
    </row>
    <row r="9" spans="1:4" x14ac:dyDescent="0.3">
      <c r="A9" t="s">
        <v>176</v>
      </c>
      <c r="B9" t="s">
        <v>156</v>
      </c>
      <c r="C9" t="s">
        <v>157</v>
      </c>
      <c r="D9">
        <v>39200</v>
      </c>
    </row>
    <row r="10" spans="1:4" x14ac:dyDescent="0.3">
      <c r="A10" t="s">
        <v>243</v>
      </c>
      <c r="B10" t="s">
        <v>244</v>
      </c>
      <c r="C10" t="s">
        <v>245</v>
      </c>
      <c r="D10">
        <v>132000</v>
      </c>
    </row>
    <row r="11" spans="1:4" x14ac:dyDescent="0.3">
      <c r="A11" t="s">
        <v>246</v>
      </c>
      <c r="B11" t="s">
        <v>247</v>
      </c>
      <c r="C11" t="s">
        <v>248</v>
      </c>
      <c r="D11">
        <v>50000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D384-AC38-4244-8B95-642FACFF2F81}">
  <dimension ref="A1:N61"/>
  <sheetViews>
    <sheetView topLeftCell="A2" workbookViewId="0"/>
  </sheetViews>
  <sheetFormatPr defaultRowHeight="14.4" x14ac:dyDescent="0.3"/>
  <cols>
    <col min="1" max="1" width="10.88671875" bestFit="1" customWidth="1"/>
    <col min="2" max="2" width="9.33203125" bestFit="1" customWidth="1"/>
    <col min="3" max="3" width="10.88671875" bestFit="1" customWidth="1"/>
    <col min="4" max="5" width="11.33203125" bestFit="1" customWidth="1"/>
    <col min="6" max="6" width="13.5546875" bestFit="1" customWidth="1"/>
    <col min="7" max="7" width="15" bestFit="1" customWidth="1"/>
    <col min="8" max="8" width="14.88671875" bestFit="1" customWidth="1"/>
    <col min="9" max="10" width="13.5546875" bestFit="1" customWidth="1"/>
    <col min="11" max="12" width="16.44140625" bestFit="1" customWidth="1"/>
    <col min="13" max="14" width="14.33203125" bestFit="1" customWidth="1"/>
  </cols>
  <sheetData>
    <row r="1" spans="1:14" x14ac:dyDescent="0.3">
      <c r="A1" t="s">
        <v>159</v>
      </c>
      <c r="B1" t="s">
        <v>160</v>
      </c>
      <c r="C1" t="s">
        <v>161</v>
      </c>
      <c r="D1" t="s">
        <v>162</v>
      </c>
      <c r="E1" t="s">
        <v>163</v>
      </c>
      <c r="F1" t="s">
        <v>164</v>
      </c>
      <c r="G1" t="s">
        <v>165</v>
      </c>
      <c r="H1" t="s">
        <v>166</v>
      </c>
      <c r="I1" t="s">
        <v>167</v>
      </c>
      <c r="J1" t="s">
        <v>168</v>
      </c>
      <c r="K1" t="s">
        <v>169</v>
      </c>
      <c r="L1" t="s">
        <v>170</v>
      </c>
      <c r="M1" t="s">
        <v>171</v>
      </c>
      <c r="N1" t="s">
        <v>172</v>
      </c>
    </row>
    <row r="2" spans="1:14" x14ac:dyDescent="0.3">
      <c r="A2" t="s">
        <v>173</v>
      </c>
      <c r="B2" s="1">
        <v>45738</v>
      </c>
      <c r="C2" t="s">
        <v>174</v>
      </c>
      <c r="D2" t="s">
        <v>32</v>
      </c>
      <c r="E2" t="s">
        <v>44</v>
      </c>
      <c r="F2" t="s">
        <v>32</v>
      </c>
      <c r="G2" t="s">
        <v>32</v>
      </c>
      <c r="H2" t="s">
        <v>30</v>
      </c>
      <c r="I2">
        <v>192</v>
      </c>
      <c r="J2">
        <v>174</v>
      </c>
      <c r="K2">
        <v>4</v>
      </c>
      <c r="L2">
        <v>8</v>
      </c>
      <c r="M2">
        <v>20</v>
      </c>
      <c r="N2">
        <v>20</v>
      </c>
    </row>
    <row r="3" spans="1:14" x14ac:dyDescent="0.3">
      <c r="A3" t="s">
        <v>175</v>
      </c>
      <c r="B3" s="1">
        <v>45739</v>
      </c>
      <c r="C3" t="s">
        <v>176</v>
      </c>
      <c r="D3" t="s">
        <v>98</v>
      </c>
      <c r="E3" t="s">
        <v>65</v>
      </c>
      <c r="F3" t="s">
        <v>98</v>
      </c>
      <c r="G3" t="s">
        <v>98</v>
      </c>
      <c r="H3" t="s">
        <v>103</v>
      </c>
      <c r="I3">
        <v>184</v>
      </c>
      <c r="J3">
        <v>183</v>
      </c>
      <c r="K3">
        <v>7</v>
      </c>
      <c r="L3">
        <v>9</v>
      </c>
      <c r="M3">
        <v>20</v>
      </c>
      <c r="N3">
        <v>20</v>
      </c>
    </row>
    <row r="4" spans="1:14" x14ac:dyDescent="0.3">
      <c r="A4" t="s">
        <v>177</v>
      </c>
      <c r="B4" s="1">
        <v>45739</v>
      </c>
      <c r="C4" t="s">
        <v>178</v>
      </c>
      <c r="D4" t="s">
        <v>54</v>
      </c>
      <c r="E4" t="s">
        <v>87</v>
      </c>
      <c r="F4" t="s">
        <v>87</v>
      </c>
      <c r="G4" t="s">
        <v>54</v>
      </c>
      <c r="H4" t="s">
        <v>55</v>
      </c>
      <c r="I4">
        <v>208</v>
      </c>
      <c r="J4">
        <v>198</v>
      </c>
      <c r="K4">
        <v>6</v>
      </c>
      <c r="L4">
        <v>7</v>
      </c>
      <c r="M4">
        <v>20</v>
      </c>
      <c r="N4">
        <v>20</v>
      </c>
    </row>
    <row r="5" spans="1:14" x14ac:dyDescent="0.3">
      <c r="A5" t="s">
        <v>179</v>
      </c>
      <c r="B5" s="1">
        <v>45740</v>
      </c>
      <c r="C5" t="s">
        <v>180</v>
      </c>
      <c r="D5" t="s">
        <v>76</v>
      </c>
      <c r="E5" t="s">
        <v>10</v>
      </c>
      <c r="F5" t="s">
        <v>10</v>
      </c>
      <c r="G5" t="s">
        <v>76</v>
      </c>
      <c r="H5" t="s">
        <v>74</v>
      </c>
      <c r="I5">
        <v>193</v>
      </c>
      <c r="J5">
        <v>165</v>
      </c>
      <c r="K5">
        <v>5</v>
      </c>
      <c r="L5">
        <v>10</v>
      </c>
      <c r="M5">
        <v>20</v>
      </c>
      <c r="N5">
        <v>17.2</v>
      </c>
    </row>
    <row r="6" spans="1:14" x14ac:dyDescent="0.3">
      <c r="A6" t="s">
        <v>181</v>
      </c>
      <c r="B6" s="1">
        <v>45741</v>
      </c>
      <c r="C6" t="s">
        <v>182</v>
      </c>
      <c r="D6" t="s">
        <v>44</v>
      </c>
      <c r="E6" t="s">
        <v>76</v>
      </c>
      <c r="F6" t="s">
        <v>44</v>
      </c>
      <c r="G6" t="s">
        <v>76</v>
      </c>
      <c r="H6" t="s">
        <v>83</v>
      </c>
      <c r="I6">
        <v>181</v>
      </c>
      <c r="J6">
        <v>185</v>
      </c>
      <c r="K6">
        <v>5</v>
      </c>
      <c r="L6">
        <v>4</v>
      </c>
      <c r="M6">
        <v>20</v>
      </c>
      <c r="N6">
        <v>19.3</v>
      </c>
    </row>
    <row r="7" spans="1:14" x14ac:dyDescent="0.3">
      <c r="A7" t="s">
        <v>183</v>
      </c>
      <c r="B7" s="1">
        <v>45742</v>
      </c>
      <c r="C7" t="s">
        <v>184</v>
      </c>
      <c r="D7" t="s">
        <v>65</v>
      </c>
      <c r="E7" t="s">
        <v>54</v>
      </c>
      <c r="F7" t="s">
        <v>65</v>
      </c>
      <c r="G7" t="s">
        <v>54</v>
      </c>
      <c r="H7" t="s">
        <v>58</v>
      </c>
      <c r="I7">
        <v>164</v>
      </c>
      <c r="J7">
        <v>165</v>
      </c>
      <c r="K7">
        <v>8</v>
      </c>
      <c r="L7">
        <v>3</v>
      </c>
      <c r="M7">
        <v>20</v>
      </c>
      <c r="N7">
        <v>18.399999999999999</v>
      </c>
    </row>
    <row r="8" spans="1:14" x14ac:dyDescent="0.3">
      <c r="A8" t="s">
        <v>185</v>
      </c>
      <c r="B8" s="1">
        <v>45743</v>
      </c>
      <c r="C8" t="s">
        <v>174</v>
      </c>
      <c r="D8" t="s">
        <v>32</v>
      </c>
      <c r="E8" t="s">
        <v>87</v>
      </c>
      <c r="F8" t="s">
        <v>87</v>
      </c>
      <c r="G8" t="s">
        <v>32</v>
      </c>
      <c r="H8" t="s">
        <v>33</v>
      </c>
      <c r="I8">
        <v>178</v>
      </c>
      <c r="J8">
        <v>169</v>
      </c>
      <c r="K8">
        <v>6</v>
      </c>
      <c r="L8">
        <v>9</v>
      </c>
      <c r="M8">
        <v>20</v>
      </c>
      <c r="N8">
        <v>20</v>
      </c>
    </row>
    <row r="9" spans="1:14" x14ac:dyDescent="0.3">
      <c r="A9" t="s">
        <v>186</v>
      </c>
      <c r="B9" s="1">
        <v>45744</v>
      </c>
      <c r="C9" t="s">
        <v>187</v>
      </c>
      <c r="D9" t="s">
        <v>10</v>
      </c>
      <c r="E9" t="s">
        <v>98</v>
      </c>
      <c r="F9" t="s">
        <v>10</v>
      </c>
      <c r="G9" t="s">
        <v>98</v>
      </c>
      <c r="H9" t="s">
        <v>101</v>
      </c>
      <c r="I9">
        <v>154</v>
      </c>
      <c r="J9">
        <v>155</v>
      </c>
      <c r="K9">
        <v>10</v>
      </c>
      <c r="L9">
        <v>3</v>
      </c>
      <c r="M9">
        <v>19.5</v>
      </c>
      <c r="N9">
        <v>17</v>
      </c>
    </row>
    <row r="10" spans="1:14" x14ac:dyDescent="0.3">
      <c r="A10" t="s">
        <v>188</v>
      </c>
      <c r="B10" s="1">
        <v>45745</v>
      </c>
      <c r="C10" t="s">
        <v>178</v>
      </c>
      <c r="D10" t="s">
        <v>54</v>
      </c>
      <c r="E10" t="s">
        <v>44</v>
      </c>
      <c r="F10" t="s">
        <v>44</v>
      </c>
      <c r="G10" t="s">
        <v>54</v>
      </c>
      <c r="H10" t="s">
        <v>60</v>
      </c>
      <c r="I10">
        <v>171</v>
      </c>
      <c r="J10">
        <v>156</v>
      </c>
      <c r="K10">
        <v>5</v>
      </c>
      <c r="L10">
        <v>9</v>
      </c>
      <c r="M10">
        <v>20</v>
      </c>
      <c r="N10">
        <v>18.3</v>
      </c>
    </row>
    <row r="11" spans="1:14" x14ac:dyDescent="0.3">
      <c r="A11" t="s">
        <v>189</v>
      </c>
      <c r="B11" s="1">
        <v>45746</v>
      </c>
      <c r="C11" t="s">
        <v>180</v>
      </c>
      <c r="D11" t="s">
        <v>76</v>
      </c>
      <c r="E11" t="s">
        <v>65</v>
      </c>
      <c r="F11" t="s">
        <v>65</v>
      </c>
      <c r="G11" t="s">
        <v>65</v>
      </c>
      <c r="H11" t="s">
        <v>66</v>
      </c>
      <c r="I11">
        <v>149</v>
      </c>
      <c r="J11">
        <v>150</v>
      </c>
      <c r="K11">
        <v>9</v>
      </c>
      <c r="L11">
        <v>4</v>
      </c>
      <c r="M11">
        <v>20</v>
      </c>
      <c r="N11">
        <v>18.100000000000001</v>
      </c>
    </row>
    <row r="12" spans="1:14" x14ac:dyDescent="0.3">
      <c r="A12" t="s">
        <v>190</v>
      </c>
      <c r="B12" s="1">
        <v>45747</v>
      </c>
      <c r="C12" t="s">
        <v>191</v>
      </c>
      <c r="D12" t="s">
        <v>87</v>
      </c>
      <c r="E12" t="s">
        <v>10</v>
      </c>
      <c r="F12" t="s">
        <v>10</v>
      </c>
      <c r="G12" t="s">
        <v>87</v>
      </c>
      <c r="H12" t="s">
        <v>85</v>
      </c>
      <c r="I12">
        <v>177</v>
      </c>
      <c r="J12">
        <v>152</v>
      </c>
      <c r="K12">
        <v>7</v>
      </c>
      <c r="L12">
        <v>8</v>
      </c>
      <c r="M12">
        <v>20</v>
      </c>
      <c r="N12">
        <v>18.399999999999999</v>
      </c>
    </row>
    <row r="13" spans="1:14" x14ac:dyDescent="0.3">
      <c r="A13" t="s">
        <v>192</v>
      </c>
      <c r="B13" s="1">
        <v>45748</v>
      </c>
      <c r="C13" t="s">
        <v>176</v>
      </c>
      <c r="D13" t="s">
        <v>98</v>
      </c>
      <c r="E13" t="s">
        <v>32</v>
      </c>
      <c r="F13" t="s">
        <v>32</v>
      </c>
      <c r="G13" t="s">
        <v>32</v>
      </c>
      <c r="H13" t="s">
        <v>36</v>
      </c>
      <c r="I13">
        <v>161</v>
      </c>
      <c r="J13">
        <v>162</v>
      </c>
      <c r="K13">
        <v>8</v>
      </c>
      <c r="L13">
        <v>6</v>
      </c>
      <c r="M13">
        <v>20</v>
      </c>
      <c r="N13">
        <v>19.2</v>
      </c>
    </row>
    <row r="14" spans="1:14" x14ac:dyDescent="0.3">
      <c r="A14" t="s">
        <v>193</v>
      </c>
      <c r="B14" s="1">
        <v>45749</v>
      </c>
      <c r="C14" t="s">
        <v>182</v>
      </c>
      <c r="D14" t="s">
        <v>44</v>
      </c>
      <c r="E14" t="s">
        <v>65</v>
      </c>
      <c r="F14" t="s">
        <v>65</v>
      </c>
      <c r="G14" t="s">
        <v>44</v>
      </c>
      <c r="H14" t="s">
        <v>42</v>
      </c>
      <c r="I14">
        <v>198</v>
      </c>
      <c r="J14">
        <v>187</v>
      </c>
      <c r="K14">
        <v>3</v>
      </c>
      <c r="L14">
        <v>8</v>
      </c>
      <c r="M14">
        <v>20</v>
      </c>
      <c r="N14">
        <v>20</v>
      </c>
    </row>
    <row r="15" spans="1:14" x14ac:dyDescent="0.3">
      <c r="A15" t="s">
        <v>194</v>
      </c>
      <c r="B15" s="1">
        <v>45750</v>
      </c>
      <c r="C15" t="s">
        <v>187</v>
      </c>
      <c r="D15" t="s">
        <v>10</v>
      </c>
      <c r="E15" t="s">
        <v>76</v>
      </c>
      <c r="F15" t="s">
        <v>76</v>
      </c>
      <c r="G15" t="s">
        <v>10</v>
      </c>
      <c r="H15" t="s">
        <v>8</v>
      </c>
      <c r="I15">
        <v>188</v>
      </c>
      <c r="J15">
        <v>186</v>
      </c>
      <c r="K15">
        <v>6</v>
      </c>
      <c r="L15">
        <v>8</v>
      </c>
      <c r="M15">
        <v>20</v>
      </c>
      <c r="N15">
        <v>20</v>
      </c>
    </row>
    <row r="16" spans="1:14" x14ac:dyDescent="0.3">
      <c r="A16" t="s">
        <v>195</v>
      </c>
      <c r="B16" s="1">
        <v>45751</v>
      </c>
      <c r="C16" t="s">
        <v>178</v>
      </c>
      <c r="D16" t="s">
        <v>54</v>
      </c>
      <c r="E16" t="s">
        <v>98</v>
      </c>
      <c r="F16" t="s">
        <v>98</v>
      </c>
      <c r="G16" t="s">
        <v>98</v>
      </c>
      <c r="H16" t="s">
        <v>96</v>
      </c>
      <c r="I16">
        <v>169</v>
      </c>
      <c r="J16">
        <v>170</v>
      </c>
      <c r="K16">
        <v>8</v>
      </c>
      <c r="L16">
        <v>4</v>
      </c>
      <c r="M16">
        <v>20</v>
      </c>
      <c r="N16">
        <v>19.100000000000001</v>
      </c>
    </row>
    <row r="17" spans="1:14" x14ac:dyDescent="0.3">
      <c r="A17" t="s">
        <v>196</v>
      </c>
      <c r="B17" s="1">
        <v>45752</v>
      </c>
      <c r="C17" t="s">
        <v>184</v>
      </c>
      <c r="D17" t="s">
        <v>65</v>
      </c>
      <c r="E17" t="s">
        <v>87</v>
      </c>
      <c r="F17" t="s">
        <v>65</v>
      </c>
      <c r="G17" t="s">
        <v>87</v>
      </c>
      <c r="H17" t="s">
        <v>88</v>
      </c>
      <c r="I17">
        <v>155</v>
      </c>
      <c r="J17">
        <v>156</v>
      </c>
      <c r="K17">
        <v>10</v>
      </c>
      <c r="L17">
        <v>6</v>
      </c>
      <c r="M17">
        <v>20</v>
      </c>
      <c r="N17">
        <v>19.399999999999999</v>
      </c>
    </row>
    <row r="18" spans="1:14" x14ac:dyDescent="0.3">
      <c r="A18" t="s">
        <v>197</v>
      </c>
      <c r="B18" s="1">
        <v>45753</v>
      </c>
      <c r="C18" t="s">
        <v>174</v>
      </c>
      <c r="D18" t="s">
        <v>32</v>
      </c>
      <c r="E18" t="s">
        <v>10</v>
      </c>
      <c r="F18" t="s">
        <v>10</v>
      </c>
      <c r="G18" t="s">
        <v>32</v>
      </c>
      <c r="H18" t="s">
        <v>30</v>
      </c>
      <c r="I18">
        <v>180</v>
      </c>
      <c r="J18">
        <v>178</v>
      </c>
      <c r="K18">
        <v>5</v>
      </c>
      <c r="L18">
        <v>8</v>
      </c>
      <c r="M18">
        <v>20</v>
      </c>
      <c r="N18">
        <v>20</v>
      </c>
    </row>
    <row r="19" spans="1:14" x14ac:dyDescent="0.3">
      <c r="A19" t="s">
        <v>198</v>
      </c>
      <c r="B19" s="1">
        <v>45754</v>
      </c>
      <c r="C19" t="s">
        <v>182</v>
      </c>
      <c r="D19" t="s">
        <v>44</v>
      </c>
      <c r="E19" t="s">
        <v>98</v>
      </c>
      <c r="F19" t="s">
        <v>44</v>
      </c>
      <c r="G19" t="s">
        <v>44</v>
      </c>
      <c r="H19" t="s">
        <v>47</v>
      </c>
      <c r="I19">
        <v>194</v>
      </c>
      <c r="J19">
        <v>188</v>
      </c>
      <c r="K19">
        <v>6</v>
      </c>
      <c r="L19">
        <v>7</v>
      </c>
      <c r="M19">
        <v>20</v>
      </c>
      <c r="N19">
        <v>20</v>
      </c>
    </row>
    <row r="20" spans="1:14" x14ac:dyDescent="0.3">
      <c r="A20" t="s">
        <v>199</v>
      </c>
      <c r="B20" s="1">
        <v>45755</v>
      </c>
      <c r="C20" t="s">
        <v>180</v>
      </c>
      <c r="D20" t="s">
        <v>76</v>
      </c>
      <c r="E20" t="s">
        <v>54</v>
      </c>
      <c r="F20" t="s">
        <v>54</v>
      </c>
      <c r="G20" t="s">
        <v>76</v>
      </c>
      <c r="H20" t="s">
        <v>78</v>
      </c>
      <c r="I20">
        <v>172</v>
      </c>
      <c r="J20">
        <v>171</v>
      </c>
      <c r="K20">
        <v>9</v>
      </c>
      <c r="L20">
        <v>10</v>
      </c>
      <c r="M20">
        <v>20</v>
      </c>
      <c r="N20">
        <v>20</v>
      </c>
    </row>
    <row r="21" spans="1:14" x14ac:dyDescent="0.3">
      <c r="A21" t="s">
        <v>200</v>
      </c>
      <c r="B21" s="1">
        <v>45756</v>
      </c>
      <c r="C21" t="s">
        <v>191</v>
      </c>
      <c r="D21" t="s">
        <v>87</v>
      </c>
      <c r="E21" t="s">
        <v>65</v>
      </c>
      <c r="F21" t="s">
        <v>65</v>
      </c>
      <c r="G21" t="s">
        <v>65</v>
      </c>
      <c r="H21" t="s">
        <v>69</v>
      </c>
      <c r="I21">
        <v>166</v>
      </c>
      <c r="J21">
        <v>167</v>
      </c>
      <c r="K21">
        <v>7</v>
      </c>
      <c r="L21">
        <v>5</v>
      </c>
      <c r="M21">
        <v>20</v>
      </c>
      <c r="N21">
        <v>19.100000000000001</v>
      </c>
    </row>
    <row r="22" spans="1:14" x14ac:dyDescent="0.3">
      <c r="A22" t="s">
        <v>201</v>
      </c>
      <c r="B22" s="1">
        <v>45757</v>
      </c>
      <c r="C22" t="s">
        <v>187</v>
      </c>
      <c r="D22" t="s">
        <v>10</v>
      </c>
      <c r="E22" t="s">
        <v>54</v>
      </c>
      <c r="F22" t="s">
        <v>54</v>
      </c>
      <c r="G22" t="s">
        <v>10</v>
      </c>
      <c r="H22" t="s">
        <v>15</v>
      </c>
      <c r="I22">
        <v>175</v>
      </c>
      <c r="J22">
        <v>170</v>
      </c>
      <c r="K22">
        <v>7</v>
      </c>
      <c r="L22">
        <v>9</v>
      </c>
      <c r="M22">
        <v>20</v>
      </c>
      <c r="N22">
        <v>20</v>
      </c>
    </row>
    <row r="23" spans="1:14" x14ac:dyDescent="0.3">
      <c r="A23" t="s">
        <v>202</v>
      </c>
      <c r="B23" s="1">
        <v>45758</v>
      </c>
      <c r="C23" t="s">
        <v>176</v>
      </c>
      <c r="D23" t="s">
        <v>98</v>
      </c>
      <c r="E23" t="s">
        <v>76</v>
      </c>
      <c r="F23" t="s">
        <v>76</v>
      </c>
      <c r="G23" t="s">
        <v>98</v>
      </c>
      <c r="H23" t="s">
        <v>99</v>
      </c>
      <c r="I23">
        <v>159</v>
      </c>
      <c r="J23">
        <v>158</v>
      </c>
      <c r="K23">
        <v>6</v>
      </c>
      <c r="L23">
        <v>7</v>
      </c>
      <c r="M23">
        <v>20</v>
      </c>
      <c r="N23">
        <v>20</v>
      </c>
    </row>
    <row r="24" spans="1:14" x14ac:dyDescent="0.3">
      <c r="A24" t="s">
        <v>203</v>
      </c>
      <c r="B24" s="1">
        <v>45759</v>
      </c>
      <c r="C24" t="s">
        <v>174</v>
      </c>
      <c r="D24" t="s">
        <v>32</v>
      </c>
      <c r="E24" t="s">
        <v>44</v>
      </c>
      <c r="F24" t="s">
        <v>44</v>
      </c>
      <c r="G24" t="s">
        <v>44</v>
      </c>
      <c r="H24" t="s">
        <v>42</v>
      </c>
      <c r="I24">
        <v>183</v>
      </c>
      <c r="J24">
        <v>184</v>
      </c>
      <c r="K24">
        <v>8</v>
      </c>
      <c r="L24">
        <v>6</v>
      </c>
      <c r="M24">
        <v>20</v>
      </c>
      <c r="N24">
        <v>19.399999999999999</v>
      </c>
    </row>
    <row r="25" spans="1:14" x14ac:dyDescent="0.3">
      <c r="A25" t="s">
        <v>204</v>
      </c>
      <c r="B25" s="1">
        <v>45760</v>
      </c>
      <c r="C25" t="s">
        <v>184</v>
      </c>
      <c r="D25" t="s">
        <v>65</v>
      </c>
      <c r="E25" t="s">
        <v>10</v>
      </c>
      <c r="F25" t="s">
        <v>65</v>
      </c>
      <c r="G25" t="s">
        <v>10</v>
      </c>
      <c r="H25" t="s">
        <v>19</v>
      </c>
      <c r="I25">
        <v>168</v>
      </c>
      <c r="J25">
        <v>171</v>
      </c>
      <c r="K25">
        <v>5</v>
      </c>
      <c r="L25">
        <v>4</v>
      </c>
      <c r="M25">
        <v>20</v>
      </c>
      <c r="N25">
        <v>19.100000000000001</v>
      </c>
    </row>
    <row r="26" spans="1:14" x14ac:dyDescent="0.3">
      <c r="A26" t="s">
        <v>205</v>
      </c>
      <c r="B26" s="1">
        <v>45761</v>
      </c>
      <c r="C26" t="s">
        <v>191</v>
      </c>
      <c r="D26" t="s">
        <v>87</v>
      </c>
      <c r="E26" t="s">
        <v>98</v>
      </c>
      <c r="F26" t="s">
        <v>87</v>
      </c>
      <c r="G26" t="s">
        <v>98</v>
      </c>
      <c r="H26" t="s">
        <v>103</v>
      </c>
      <c r="I26">
        <v>186</v>
      </c>
      <c r="J26">
        <v>187</v>
      </c>
      <c r="K26">
        <v>6</v>
      </c>
      <c r="L26">
        <v>5</v>
      </c>
      <c r="M26">
        <v>20</v>
      </c>
      <c r="N26">
        <v>19.2</v>
      </c>
    </row>
    <row r="27" spans="1:14" x14ac:dyDescent="0.3">
      <c r="A27" t="s">
        <v>206</v>
      </c>
      <c r="B27" s="1">
        <v>45762</v>
      </c>
      <c r="C27" t="s">
        <v>178</v>
      </c>
      <c r="D27" t="s">
        <v>54</v>
      </c>
      <c r="E27" t="s">
        <v>32</v>
      </c>
      <c r="F27" t="s">
        <v>32</v>
      </c>
      <c r="G27" t="s">
        <v>32</v>
      </c>
      <c r="H27" t="s">
        <v>39</v>
      </c>
      <c r="I27">
        <v>160</v>
      </c>
      <c r="J27">
        <v>161</v>
      </c>
      <c r="K27">
        <v>9</v>
      </c>
      <c r="L27">
        <v>7</v>
      </c>
      <c r="M27">
        <v>20</v>
      </c>
      <c r="N27">
        <v>19.5</v>
      </c>
    </row>
    <row r="28" spans="1:14" x14ac:dyDescent="0.3">
      <c r="A28" t="s">
        <v>207</v>
      </c>
      <c r="B28" s="1">
        <v>45763</v>
      </c>
      <c r="C28" t="s">
        <v>180</v>
      </c>
      <c r="D28" t="s">
        <v>76</v>
      </c>
      <c r="E28" t="s">
        <v>44</v>
      </c>
      <c r="F28" t="s">
        <v>44</v>
      </c>
      <c r="G28" t="s">
        <v>76</v>
      </c>
      <c r="H28" t="s">
        <v>74</v>
      </c>
      <c r="I28">
        <v>190</v>
      </c>
      <c r="J28">
        <v>185</v>
      </c>
      <c r="K28">
        <v>5</v>
      </c>
      <c r="L28">
        <v>8</v>
      </c>
      <c r="M28">
        <v>20</v>
      </c>
      <c r="N28">
        <v>20</v>
      </c>
    </row>
    <row r="29" spans="1:14" x14ac:dyDescent="0.3">
      <c r="A29" t="s">
        <v>208</v>
      </c>
      <c r="B29" s="1">
        <v>45764</v>
      </c>
      <c r="C29" t="s">
        <v>187</v>
      </c>
      <c r="D29" t="s">
        <v>10</v>
      </c>
      <c r="E29" t="s">
        <v>65</v>
      </c>
      <c r="F29" t="s">
        <v>10</v>
      </c>
      <c r="G29" t="s">
        <v>10</v>
      </c>
      <c r="H29" t="s">
        <v>24</v>
      </c>
      <c r="I29">
        <v>189</v>
      </c>
      <c r="J29">
        <v>173</v>
      </c>
      <c r="K29">
        <v>3</v>
      </c>
      <c r="L29">
        <v>9</v>
      </c>
      <c r="M29">
        <v>20</v>
      </c>
      <c r="N29">
        <v>20</v>
      </c>
    </row>
    <row r="30" spans="1:14" x14ac:dyDescent="0.3">
      <c r="A30" t="s">
        <v>209</v>
      </c>
      <c r="B30" s="1">
        <v>45765</v>
      </c>
      <c r="C30" t="s">
        <v>176</v>
      </c>
      <c r="D30" t="s">
        <v>98</v>
      </c>
      <c r="E30" t="s">
        <v>87</v>
      </c>
      <c r="F30" t="s">
        <v>98</v>
      </c>
      <c r="G30" t="s">
        <v>87</v>
      </c>
      <c r="H30" t="s">
        <v>91</v>
      </c>
      <c r="I30">
        <v>157</v>
      </c>
      <c r="J30">
        <v>158</v>
      </c>
      <c r="K30">
        <v>7</v>
      </c>
      <c r="L30">
        <v>6</v>
      </c>
      <c r="M30">
        <v>20</v>
      </c>
      <c r="N30">
        <v>19.3</v>
      </c>
    </row>
    <row r="31" spans="1:14" x14ac:dyDescent="0.3">
      <c r="A31" t="s">
        <v>210</v>
      </c>
      <c r="B31" s="1">
        <v>45766</v>
      </c>
      <c r="C31" t="s">
        <v>174</v>
      </c>
      <c r="D31" t="s">
        <v>32</v>
      </c>
      <c r="E31" t="s">
        <v>54</v>
      </c>
      <c r="F31" t="s">
        <v>54</v>
      </c>
      <c r="G31" t="s">
        <v>54</v>
      </c>
      <c r="H31" t="s">
        <v>52</v>
      </c>
      <c r="I31">
        <v>179</v>
      </c>
      <c r="J31">
        <v>180</v>
      </c>
      <c r="K31">
        <v>6</v>
      </c>
      <c r="L31">
        <v>5</v>
      </c>
      <c r="M31">
        <v>20</v>
      </c>
      <c r="N31">
        <v>19.2</v>
      </c>
    </row>
    <row r="32" spans="1:14" x14ac:dyDescent="0.3">
      <c r="A32" t="s">
        <v>211</v>
      </c>
      <c r="B32" s="1">
        <v>45767</v>
      </c>
      <c r="C32" t="s">
        <v>182</v>
      </c>
      <c r="D32" t="s">
        <v>44</v>
      </c>
      <c r="E32" t="s">
        <v>10</v>
      </c>
      <c r="F32" t="s">
        <v>10</v>
      </c>
      <c r="G32" t="s">
        <v>44</v>
      </c>
      <c r="H32" t="s">
        <v>50</v>
      </c>
      <c r="I32">
        <v>195</v>
      </c>
      <c r="J32">
        <v>190</v>
      </c>
      <c r="K32">
        <v>4</v>
      </c>
      <c r="L32">
        <v>8</v>
      </c>
      <c r="M32">
        <v>20</v>
      </c>
      <c r="N32">
        <v>20</v>
      </c>
    </row>
    <row r="33" spans="1:14" x14ac:dyDescent="0.3">
      <c r="A33" t="s">
        <v>212</v>
      </c>
      <c r="B33" s="1">
        <v>45768</v>
      </c>
      <c r="C33" t="s">
        <v>184</v>
      </c>
      <c r="D33" t="s">
        <v>65</v>
      </c>
      <c r="E33" t="s">
        <v>76</v>
      </c>
      <c r="F33" t="s">
        <v>76</v>
      </c>
      <c r="G33" t="s">
        <v>65</v>
      </c>
      <c r="H33" t="s">
        <v>71</v>
      </c>
      <c r="I33">
        <v>170</v>
      </c>
      <c r="J33">
        <v>169</v>
      </c>
      <c r="K33">
        <v>6</v>
      </c>
      <c r="L33">
        <v>7</v>
      </c>
      <c r="M33">
        <v>20</v>
      </c>
      <c r="N33">
        <v>20</v>
      </c>
    </row>
    <row r="34" spans="1:14" x14ac:dyDescent="0.3">
      <c r="A34" t="s">
        <v>213</v>
      </c>
      <c r="B34" s="1">
        <v>45769</v>
      </c>
      <c r="C34" t="s">
        <v>191</v>
      </c>
      <c r="D34" t="s">
        <v>87</v>
      </c>
      <c r="E34" t="s">
        <v>32</v>
      </c>
      <c r="F34" t="s">
        <v>87</v>
      </c>
      <c r="G34" t="s">
        <v>87</v>
      </c>
      <c r="H34" t="s">
        <v>93</v>
      </c>
      <c r="I34">
        <v>182</v>
      </c>
      <c r="J34">
        <v>175</v>
      </c>
      <c r="K34">
        <v>5</v>
      </c>
      <c r="L34">
        <v>9</v>
      </c>
      <c r="M34">
        <v>20</v>
      </c>
      <c r="N34">
        <v>20</v>
      </c>
    </row>
    <row r="35" spans="1:14" x14ac:dyDescent="0.3">
      <c r="A35" t="s">
        <v>214</v>
      </c>
      <c r="B35" s="1">
        <v>45770</v>
      </c>
      <c r="C35" t="s">
        <v>178</v>
      </c>
      <c r="D35" t="s">
        <v>54</v>
      </c>
      <c r="E35" t="s">
        <v>65</v>
      </c>
      <c r="F35" t="s">
        <v>65</v>
      </c>
      <c r="G35" t="s">
        <v>54</v>
      </c>
      <c r="H35" t="s">
        <v>55</v>
      </c>
      <c r="I35">
        <v>185</v>
      </c>
      <c r="J35">
        <v>178</v>
      </c>
      <c r="K35">
        <v>7</v>
      </c>
      <c r="L35">
        <v>9</v>
      </c>
      <c r="M35">
        <v>20</v>
      </c>
      <c r="N35">
        <v>20</v>
      </c>
    </row>
    <row r="36" spans="1:14" x14ac:dyDescent="0.3">
      <c r="A36" t="s">
        <v>215</v>
      </c>
      <c r="B36" s="1">
        <v>45771</v>
      </c>
      <c r="C36" t="s">
        <v>176</v>
      </c>
      <c r="D36" t="s">
        <v>98</v>
      </c>
      <c r="E36" t="s">
        <v>44</v>
      </c>
      <c r="F36" t="s">
        <v>98</v>
      </c>
      <c r="G36" t="s">
        <v>98</v>
      </c>
      <c r="H36" t="s">
        <v>101</v>
      </c>
      <c r="I36">
        <v>197</v>
      </c>
      <c r="J36">
        <v>196</v>
      </c>
      <c r="K36">
        <v>5</v>
      </c>
      <c r="L36">
        <v>8</v>
      </c>
      <c r="M36">
        <v>20</v>
      </c>
      <c r="N36">
        <v>20</v>
      </c>
    </row>
    <row r="37" spans="1:14" x14ac:dyDescent="0.3">
      <c r="A37" t="s">
        <v>216</v>
      </c>
      <c r="B37" s="1">
        <v>45772</v>
      </c>
      <c r="C37" t="s">
        <v>187</v>
      </c>
      <c r="D37" t="s">
        <v>10</v>
      </c>
      <c r="E37" t="s">
        <v>87</v>
      </c>
      <c r="F37" t="s">
        <v>87</v>
      </c>
      <c r="G37" t="s">
        <v>10</v>
      </c>
      <c r="H37" t="s">
        <v>27</v>
      </c>
      <c r="I37">
        <v>176</v>
      </c>
      <c r="J37">
        <v>172</v>
      </c>
      <c r="K37">
        <v>4</v>
      </c>
      <c r="L37">
        <v>8</v>
      </c>
      <c r="M37">
        <v>20</v>
      </c>
      <c r="N37">
        <v>20</v>
      </c>
    </row>
    <row r="38" spans="1:14" x14ac:dyDescent="0.3">
      <c r="A38" t="s">
        <v>217</v>
      </c>
      <c r="B38" s="1">
        <v>45773</v>
      </c>
      <c r="C38" t="s">
        <v>180</v>
      </c>
      <c r="D38" t="s">
        <v>76</v>
      </c>
      <c r="E38" t="s">
        <v>98</v>
      </c>
      <c r="F38" t="s">
        <v>98</v>
      </c>
      <c r="G38" t="s">
        <v>76</v>
      </c>
      <c r="H38" t="s">
        <v>80</v>
      </c>
      <c r="I38">
        <v>153</v>
      </c>
      <c r="J38">
        <v>150</v>
      </c>
      <c r="K38">
        <v>8</v>
      </c>
      <c r="L38">
        <v>10</v>
      </c>
      <c r="M38">
        <v>20</v>
      </c>
      <c r="N38">
        <v>19.3</v>
      </c>
    </row>
    <row r="39" spans="1:14" x14ac:dyDescent="0.3">
      <c r="A39" t="s">
        <v>218</v>
      </c>
      <c r="B39" s="1">
        <v>45774</v>
      </c>
      <c r="C39" t="s">
        <v>174</v>
      </c>
      <c r="D39" t="s">
        <v>32</v>
      </c>
      <c r="E39" t="s">
        <v>65</v>
      </c>
      <c r="F39" t="s">
        <v>65</v>
      </c>
      <c r="G39" t="s">
        <v>32</v>
      </c>
      <c r="H39" t="s">
        <v>33</v>
      </c>
      <c r="I39">
        <v>163</v>
      </c>
      <c r="J39">
        <v>158</v>
      </c>
      <c r="K39">
        <v>7</v>
      </c>
      <c r="L39">
        <v>8</v>
      </c>
      <c r="M39">
        <v>20</v>
      </c>
      <c r="N39">
        <v>20</v>
      </c>
    </row>
    <row r="40" spans="1:14" x14ac:dyDescent="0.3">
      <c r="A40" t="s">
        <v>219</v>
      </c>
      <c r="B40" s="1">
        <v>45775</v>
      </c>
      <c r="C40" t="s">
        <v>182</v>
      </c>
      <c r="D40" t="s">
        <v>44</v>
      </c>
      <c r="E40" t="s">
        <v>54</v>
      </c>
      <c r="F40" t="s">
        <v>54</v>
      </c>
      <c r="G40" t="s">
        <v>44</v>
      </c>
      <c r="H40" t="s">
        <v>42</v>
      </c>
      <c r="I40">
        <v>200</v>
      </c>
      <c r="J40">
        <v>195</v>
      </c>
      <c r="K40">
        <v>5</v>
      </c>
      <c r="L40">
        <v>8</v>
      </c>
      <c r="M40">
        <v>20</v>
      </c>
      <c r="N40">
        <v>20</v>
      </c>
    </row>
    <row r="41" spans="1:14" x14ac:dyDescent="0.3">
      <c r="A41" t="s">
        <v>220</v>
      </c>
      <c r="B41" s="1">
        <v>45776</v>
      </c>
      <c r="C41" t="s">
        <v>191</v>
      </c>
      <c r="D41" t="s">
        <v>87</v>
      </c>
      <c r="E41" t="s">
        <v>76</v>
      </c>
      <c r="F41" t="s">
        <v>87</v>
      </c>
      <c r="G41" t="s">
        <v>76</v>
      </c>
      <c r="H41" t="s">
        <v>83</v>
      </c>
      <c r="I41">
        <v>180</v>
      </c>
      <c r="J41">
        <v>181</v>
      </c>
      <c r="K41">
        <v>7</v>
      </c>
      <c r="L41">
        <v>4</v>
      </c>
      <c r="M41">
        <v>20</v>
      </c>
      <c r="N41">
        <v>19.399999999999999</v>
      </c>
    </row>
    <row r="42" spans="1:14" x14ac:dyDescent="0.3">
      <c r="A42" t="s">
        <v>221</v>
      </c>
      <c r="B42" s="1">
        <v>45777</v>
      </c>
      <c r="C42" t="s">
        <v>176</v>
      </c>
      <c r="D42" t="s">
        <v>98</v>
      </c>
      <c r="E42" t="s">
        <v>10</v>
      </c>
      <c r="F42" t="s">
        <v>10</v>
      </c>
      <c r="G42" t="s">
        <v>98</v>
      </c>
      <c r="H42" t="s">
        <v>96</v>
      </c>
      <c r="I42">
        <v>174</v>
      </c>
      <c r="J42">
        <v>173</v>
      </c>
      <c r="K42">
        <v>6</v>
      </c>
      <c r="L42">
        <v>7</v>
      </c>
      <c r="M42">
        <v>20</v>
      </c>
      <c r="N42">
        <v>20</v>
      </c>
    </row>
    <row r="43" spans="1:14" x14ac:dyDescent="0.3">
      <c r="A43" t="s">
        <v>222</v>
      </c>
      <c r="B43" s="1">
        <v>45778</v>
      </c>
      <c r="C43" t="s">
        <v>184</v>
      </c>
      <c r="D43" t="s">
        <v>65</v>
      </c>
      <c r="E43" t="s">
        <v>32</v>
      </c>
      <c r="F43" t="s">
        <v>32</v>
      </c>
      <c r="G43" t="s">
        <v>65</v>
      </c>
      <c r="H43" t="s">
        <v>63</v>
      </c>
      <c r="I43">
        <v>187</v>
      </c>
      <c r="J43">
        <v>175</v>
      </c>
      <c r="K43">
        <v>4</v>
      </c>
      <c r="L43">
        <v>9</v>
      </c>
      <c r="M43">
        <v>20</v>
      </c>
      <c r="N43">
        <v>20</v>
      </c>
    </row>
    <row r="44" spans="1:14" x14ac:dyDescent="0.3">
      <c r="A44" t="s">
        <v>223</v>
      </c>
      <c r="B44" s="1">
        <v>45779</v>
      </c>
      <c r="C44" t="s">
        <v>187</v>
      </c>
      <c r="D44" t="s">
        <v>10</v>
      </c>
      <c r="E44" t="s">
        <v>44</v>
      </c>
      <c r="F44" t="s">
        <v>44</v>
      </c>
      <c r="G44" t="s">
        <v>44</v>
      </c>
      <c r="H44" t="s">
        <v>45</v>
      </c>
      <c r="I44">
        <v>162</v>
      </c>
      <c r="J44">
        <v>165</v>
      </c>
      <c r="K44">
        <v>9</v>
      </c>
      <c r="L44">
        <v>5</v>
      </c>
      <c r="M44">
        <v>20</v>
      </c>
      <c r="N44">
        <v>19.2</v>
      </c>
    </row>
    <row r="45" spans="1:14" x14ac:dyDescent="0.3">
      <c r="A45" t="s">
        <v>224</v>
      </c>
      <c r="B45" s="1">
        <v>45780</v>
      </c>
      <c r="C45" t="s">
        <v>178</v>
      </c>
      <c r="D45" t="s">
        <v>54</v>
      </c>
      <c r="E45" t="s">
        <v>76</v>
      </c>
      <c r="F45" t="s">
        <v>76</v>
      </c>
      <c r="G45" t="s">
        <v>54</v>
      </c>
      <c r="H45" t="s">
        <v>52</v>
      </c>
      <c r="I45">
        <v>196</v>
      </c>
      <c r="J45">
        <v>188</v>
      </c>
      <c r="K45">
        <v>3</v>
      </c>
      <c r="L45">
        <v>8</v>
      </c>
      <c r="M45">
        <v>20</v>
      </c>
      <c r="N45">
        <v>20</v>
      </c>
    </row>
    <row r="46" spans="1:14" x14ac:dyDescent="0.3">
      <c r="A46" t="s">
        <v>225</v>
      </c>
      <c r="B46" s="1">
        <v>45781</v>
      </c>
      <c r="C46" t="s">
        <v>176</v>
      </c>
      <c r="D46" t="s">
        <v>98</v>
      </c>
      <c r="E46" t="s">
        <v>65</v>
      </c>
      <c r="F46" t="s">
        <v>65</v>
      </c>
      <c r="G46" t="s">
        <v>98</v>
      </c>
      <c r="H46" t="s">
        <v>103</v>
      </c>
      <c r="I46">
        <v>184</v>
      </c>
      <c r="J46">
        <v>183</v>
      </c>
      <c r="K46">
        <v>7</v>
      </c>
      <c r="L46">
        <v>9</v>
      </c>
      <c r="M46">
        <v>20</v>
      </c>
      <c r="N46">
        <v>20</v>
      </c>
    </row>
    <row r="47" spans="1:14" x14ac:dyDescent="0.3">
      <c r="A47" t="s">
        <v>226</v>
      </c>
      <c r="B47" s="1">
        <v>45782</v>
      </c>
      <c r="C47" t="s">
        <v>174</v>
      </c>
      <c r="D47" t="s">
        <v>32</v>
      </c>
      <c r="E47" t="s">
        <v>76</v>
      </c>
      <c r="F47" t="s">
        <v>76</v>
      </c>
      <c r="G47" t="s">
        <v>32</v>
      </c>
      <c r="H47" t="s">
        <v>30</v>
      </c>
      <c r="I47">
        <v>192</v>
      </c>
      <c r="J47">
        <v>174</v>
      </c>
      <c r="K47">
        <v>4</v>
      </c>
      <c r="L47">
        <v>8</v>
      </c>
      <c r="M47">
        <v>20</v>
      </c>
      <c r="N47">
        <v>20</v>
      </c>
    </row>
    <row r="48" spans="1:14" x14ac:dyDescent="0.3">
      <c r="A48" t="s">
        <v>227</v>
      </c>
      <c r="B48" s="1">
        <v>45783</v>
      </c>
      <c r="C48" t="s">
        <v>191</v>
      </c>
      <c r="D48" t="s">
        <v>87</v>
      </c>
      <c r="E48" t="s">
        <v>54</v>
      </c>
      <c r="F48" t="s">
        <v>87</v>
      </c>
      <c r="G48" t="s">
        <v>54</v>
      </c>
      <c r="H48" t="s">
        <v>55</v>
      </c>
      <c r="I48">
        <v>208</v>
      </c>
      <c r="J48">
        <v>198</v>
      </c>
      <c r="K48">
        <v>6</v>
      </c>
      <c r="L48">
        <v>7</v>
      </c>
      <c r="M48">
        <v>20</v>
      </c>
      <c r="N48">
        <v>20</v>
      </c>
    </row>
    <row r="49" spans="1:14" x14ac:dyDescent="0.3">
      <c r="A49" t="s">
        <v>228</v>
      </c>
      <c r="B49" s="1">
        <v>45784</v>
      </c>
      <c r="C49" t="s">
        <v>182</v>
      </c>
      <c r="D49" t="s">
        <v>44</v>
      </c>
      <c r="E49" t="s">
        <v>10</v>
      </c>
      <c r="F49" t="s">
        <v>10</v>
      </c>
      <c r="G49" t="s">
        <v>76</v>
      </c>
      <c r="H49" t="s">
        <v>74</v>
      </c>
      <c r="I49">
        <v>193</v>
      </c>
      <c r="J49">
        <v>165</v>
      </c>
      <c r="K49">
        <v>5</v>
      </c>
      <c r="L49">
        <v>10</v>
      </c>
      <c r="M49">
        <v>20</v>
      </c>
      <c r="N49">
        <v>17.2</v>
      </c>
    </row>
    <row r="50" spans="1:14" x14ac:dyDescent="0.3">
      <c r="A50" t="s">
        <v>229</v>
      </c>
      <c r="B50" s="1">
        <v>45785</v>
      </c>
      <c r="C50" t="s">
        <v>184</v>
      </c>
      <c r="D50" t="s">
        <v>65</v>
      </c>
      <c r="E50" t="s">
        <v>44</v>
      </c>
      <c r="F50" t="s">
        <v>44</v>
      </c>
      <c r="G50" t="s">
        <v>76</v>
      </c>
      <c r="H50" t="s">
        <v>83</v>
      </c>
      <c r="I50">
        <v>181</v>
      </c>
      <c r="J50">
        <v>185</v>
      </c>
      <c r="K50">
        <v>5</v>
      </c>
      <c r="L50">
        <v>4</v>
      </c>
      <c r="M50">
        <v>20</v>
      </c>
      <c r="N50">
        <v>19.3</v>
      </c>
    </row>
    <row r="51" spans="1:14" x14ac:dyDescent="0.3">
      <c r="A51" t="s">
        <v>230</v>
      </c>
      <c r="B51" s="1">
        <v>45786</v>
      </c>
      <c r="C51" t="s">
        <v>180</v>
      </c>
      <c r="D51" t="s">
        <v>76</v>
      </c>
      <c r="E51" t="s">
        <v>32</v>
      </c>
      <c r="F51" t="s">
        <v>65</v>
      </c>
      <c r="G51" t="s">
        <v>54</v>
      </c>
      <c r="H51" t="s">
        <v>58</v>
      </c>
      <c r="I51">
        <v>164</v>
      </c>
      <c r="J51">
        <v>165</v>
      </c>
      <c r="K51">
        <v>8</v>
      </c>
      <c r="L51">
        <v>3</v>
      </c>
      <c r="M51">
        <v>20</v>
      </c>
      <c r="N51">
        <v>18.399999999999999</v>
      </c>
    </row>
    <row r="52" spans="1:14" x14ac:dyDescent="0.3">
      <c r="A52" t="s">
        <v>231</v>
      </c>
      <c r="B52" s="1">
        <v>45787</v>
      </c>
      <c r="C52" t="s">
        <v>187</v>
      </c>
      <c r="D52" t="s">
        <v>10</v>
      </c>
      <c r="E52" t="s">
        <v>32</v>
      </c>
      <c r="F52" t="s">
        <v>87</v>
      </c>
      <c r="G52" t="s">
        <v>32</v>
      </c>
      <c r="H52" t="s">
        <v>33</v>
      </c>
      <c r="I52">
        <v>178</v>
      </c>
      <c r="J52">
        <v>169</v>
      </c>
      <c r="K52">
        <v>6</v>
      </c>
      <c r="L52">
        <v>9</v>
      </c>
      <c r="M52">
        <v>20</v>
      </c>
      <c r="N52">
        <v>20</v>
      </c>
    </row>
    <row r="53" spans="1:14" x14ac:dyDescent="0.3">
      <c r="A53" t="s">
        <v>232</v>
      </c>
      <c r="B53" s="1">
        <v>45788</v>
      </c>
      <c r="C53" t="s">
        <v>178</v>
      </c>
      <c r="D53" t="s">
        <v>54</v>
      </c>
      <c r="E53" t="s">
        <v>98</v>
      </c>
      <c r="F53" t="s">
        <v>10</v>
      </c>
      <c r="G53" t="s">
        <v>98</v>
      </c>
      <c r="H53" t="s">
        <v>101</v>
      </c>
      <c r="I53">
        <v>154</v>
      </c>
      <c r="J53">
        <v>155</v>
      </c>
      <c r="K53">
        <v>10</v>
      </c>
      <c r="L53">
        <v>3</v>
      </c>
      <c r="M53">
        <v>19.5</v>
      </c>
      <c r="N53">
        <v>17</v>
      </c>
    </row>
    <row r="54" spans="1:14" x14ac:dyDescent="0.3">
      <c r="A54" t="s">
        <v>233</v>
      </c>
      <c r="B54" s="1">
        <v>45789</v>
      </c>
      <c r="C54" t="s">
        <v>176</v>
      </c>
      <c r="D54" t="s">
        <v>98</v>
      </c>
      <c r="E54" t="s">
        <v>44</v>
      </c>
      <c r="F54" t="s">
        <v>44</v>
      </c>
      <c r="G54" t="s">
        <v>54</v>
      </c>
      <c r="H54" t="s">
        <v>60</v>
      </c>
      <c r="I54">
        <v>171</v>
      </c>
      <c r="J54">
        <v>156</v>
      </c>
      <c r="K54">
        <v>5</v>
      </c>
      <c r="L54">
        <v>9</v>
      </c>
      <c r="M54">
        <v>20</v>
      </c>
      <c r="N54">
        <v>18.3</v>
      </c>
    </row>
    <row r="55" spans="1:14" x14ac:dyDescent="0.3">
      <c r="A55" t="s">
        <v>234</v>
      </c>
      <c r="B55" s="1">
        <v>45790</v>
      </c>
      <c r="C55" t="s">
        <v>191</v>
      </c>
      <c r="D55" t="s">
        <v>87</v>
      </c>
      <c r="E55" t="s">
        <v>65</v>
      </c>
      <c r="F55" t="s">
        <v>65</v>
      </c>
      <c r="G55" t="s">
        <v>65</v>
      </c>
      <c r="H55" t="s">
        <v>66</v>
      </c>
      <c r="I55">
        <v>149</v>
      </c>
      <c r="J55">
        <v>150</v>
      </c>
      <c r="K55">
        <v>9</v>
      </c>
      <c r="L55">
        <v>4</v>
      </c>
      <c r="M55">
        <v>20</v>
      </c>
      <c r="N55">
        <v>18.100000000000001</v>
      </c>
    </row>
    <row r="56" spans="1:14" x14ac:dyDescent="0.3">
      <c r="A56" t="s">
        <v>235</v>
      </c>
      <c r="B56" s="1">
        <v>45791</v>
      </c>
      <c r="C56" t="s">
        <v>182</v>
      </c>
      <c r="D56" t="s">
        <v>44</v>
      </c>
      <c r="E56" t="s">
        <v>76</v>
      </c>
      <c r="F56" t="s">
        <v>10</v>
      </c>
      <c r="G56" t="s">
        <v>87</v>
      </c>
      <c r="H56" t="s">
        <v>85</v>
      </c>
      <c r="I56">
        <v>177</v>
      </c>
      <c r="J56">
        <v>152</v>
      </c>
      <c r="K56">
        <v>7</v>
      </c>
      <c r="L56">
        <v>8</v>
      </c>
      <c r="M56">
        <v>20</v>
      </c>
      <c r="N56">
        <v>18.399999999999999</v>
      </c>
    </row>
    <row r="57" spans="1:14" x14ac:dyDescent="0.3">
      <c r="A57" t="s">
        <v>236</v>
      </c>
      <c r="B57" s="1">
        <v>45792</v>
      </c>
      <c r="C57" t="s">
        <v>187</v>
      </c>
      <c r="D57" t="s">
        <v>10</v>
      </c>
      <c r="E57" t="s">
        <v>54</v>
      </c>
      <c r="F57" t="s">
        <v>32</v>
      </c>
      <c r="G57" t="s">
        <v>32</v>
      </c>
      <c r="H57" t="s">
        <v>36</v>
      </c>
      <c r="I57">
        <v>161</v>
      </c>
      <c r="J57">
        <v>162</v>
      </c>
      <c r="K57">
        <v>8</v>
      </c>
      <c r="L57">
        <v>6</v>
      </c>
      <c r="M57">
        <v>20</v>
      </c>
      <c r="N57">
        <v>19.2</v>
      </c>
    </row>
    <row r="58" spans="1:14" x14ac:dyDescent="0.3">
      <c r="A58" t="s">
        <v>237</v>
      </c>
      <c r="B58" s="1">
        <v>45793</v>
      </c>
      <c r="C58" t="s">
        <v>174</v>
      </c>
      <c r="D58" t="s">
        <v>32</v>
      </c>
      <c r="E58" t="s">
        <v>98</v>
      </c>
      <c r="F58" t="s">
        <v>65</v>
      </c>
      <c r="G58" t="s">
        <v>44</v>
      </c>
      <c r="H58" t="s">
        <v>42</v>
      </c>
      <c r="I58">
        <v>198</v>
      </c>
      <c r="J58">
        <v>187</v>
      </c>
      <c r="K58">
        <v>3</v>
      </c>
      <c r="L58">
        <v>8</v>
      </c>
      <c r="M58">
        <v>20</v>
      </c>
      <c r="N58">
        <v>20</v>
      </c>
    </row>
    <row r="59" spans="1:14" x14ac:dyDescent="0.3">
      <c r="A59" t="s">
        <v>238</v>
      </c>
      <c r="B59" s="1">
        <v>45794</v>
      </c>
      <c r="C59" t="s">
        <v>184</v>
      </c>
      <c r="D59" t="s">
        <v>65</v>
      </c>
      <c r="E59" t="s">
        <v>76</v>
      </c>
      <c r="F59" t="s">
        <v>76</v>
      </c>
      <c r="G59" t="s">
        <v>10</v>
      </c>
      <c r="H59" t="s">
        <v>8</v>
      </c>
      <c r="I59">
        <v>188</v>
      </c>
      <c r="J59">
        <v>186</v>
      </c>
      <c r="K59">
        <v>6</v>
      </c>
      <c r="L59">
        <v>8</v>
      </c>
      <c r="M59">
        <v>20</v>
      </c>
      <c r="N59">
        <v>20</v>
      </c>
    </row>
    <row r="60" spans="1:14" x14ac:dyDescent="0.3">
      <c r="A60" t="s">
        <v>239</v>
      </c>
      <c r="B60" s="1">
        <v>45795</v>
      </c>
      <c r="C60" t="s">
        <v>178</v>
      </c>
      <c r="D60" t="s">
        <v>54</v>
      </c>
      <c r="E60" t="s">
        <v>87</v>
      </c>
      <c r="F60" t="s">
        <v>98</v>
      </c>
      <c r="G60" t="s">
        <v>98</v>
      </c>
      <c r="H60" t="s">
        <v>96</v>
      </c>
      <c r="I60">
        <v>169</v>
      </c>
      <c r="J60">
        <v>170</v>
      </c>
      <c r="K60">
        <v>8</v>
      </c>
      <c r="L60">
        <v>4</v>
      </c>
      <c r="M60">
        <v>20</v>
      </c>
      <c r="N60">
        <v>19.100000000000001</v>
      </c>
    </row>
    <row r="61" spans="1:14" x14ac:dyDescent="0.3">
      <c r="A61" t="s">
        <v>240</v>
      </c>
      <c r="B61" s="1">
        <v>45796</v>
      </c>
      <c r="C61" t="s">
        <v>180</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47AE-052B-44E7-8DC9-9F11CD515E8A}">
  <dimension ref="A1:G9"/>
  <sheetViews>
    <sheetView workbookViewId="0"/>
  </sheetViews>
  <sheetFormatPr defaultRowHeight="14.4" x14ac:dyDescent="0.3"/>
  <cols>
    <col min="1" max="1" width="10.33203125" bestFit="1" customWidth="1"/>
    <col min="2" max="2" width="29" bestFit="1" customWidth="1"/>
    <col min="3" max="3" width="14.21875" bestFit="1" customWidth="1"/>
    <col min="4" max="4" width="16.88671875" bestFit="1" customWidth="1"/>
    <col min="5" max="5" width="39.109375" bestFit="1" customWidth="1"/>
    <col min="6" max="6" width="9.77734375" bestFit="1" customWidth="1"/>
    <col min="7" max="7" width="16.33203125" bestFit="1" customWidth="1"/>
  </cols>
  <sheetData>
    <row r="1" spans="1:7" x14ac:dyDescent="0.3">
      <c r="A1" t="s">
        <v>2</v>
      </c>
      <c r="B1" t="s">
        <v>105</v>
      </c>
      <c r="C1" t="s">
        <v>106</v>
      </c>
      <c r="D1" t="s">
        <v>107</v>
      </c>
      <c r="E1" t="s">
        <v>108</v>
      </c>
      <c r="F1" t="s">
        <v>109</v>
      </c>
      <c r="G1" t="s">
        <v>110</v>
      </c>
    </row>
    <row r="2" spans="1:7" x14ac:dyDescent="0.3">
      <c r="A2" t="s">
        <v>10</v>
      </c>
      <c r="B2" t="s">
        <v>111</v>
      </c>
      <c r="C2" t="s">
        <v>112</v>
      </c>
      <c r="D2" t="s">
        <v>113</v>
      </c>
      <c r="E2" t="s">
        <v>114</v>
      </c>
      <c r="F2" t="s">
        <v>115</v>
      </c>
      <c r="G2" t="s">
        <v>116</v>
      </c>
    </row>
    <row r="3" spans="1:7" x14ac:dyDescent="0.3">
      <c r="A3" t="s">
        <v>32</v>
      </c>
      <c r="B3" t="s">
        <v>117</v>
      </c>
      <c r="C3" t="s">
        <v>118</v>
      </c>
      <c r="D3" t="s">
        <v>119</v>
      </c>
      <c r="E3" t="s">
        <v>120</v>
      </c>
      <c r="F3" t="s">
        <v>121</v>
      </c>
      <c r="G3" t="s">
        <v>122</v>
      </c>
    </row>
    <row r="4" spans="1:7" x14ac:dyDescent="0.3">
      <c r="A4" t="s">
        <v>44</v>
      </c>
      <c r="B4" t="s">
        <v>123</v>
      </c>
      <c r="C4" t="s">
        <v>124</v>
      </c>
      <c r="D4" t="s">
        <v>125</v>
      </c>
      <c r="E4" t="s">
        <v>126</v>
      </c>
      <c r="F4" t="s">
        <v>127</v>
      </c>
      <c r="G4" t="s">
        <v>128</v>
      </c>
    </row>
    <row r="5" spans="1:7" x14ac:dyDescent="0.3">
      <c r="A5" t="s">
        <v>54</v>
      </c>
      <c r="B5" t="s">
        <v>129</v>
      </c>
      <c r="C5" t="s">
        <v>130</v>
      </c>
      <c r="D5" t="s">
        <v>131</v>
      </c>
      <c r="E5" t="s">
        <v>132</v>
      </c>
      <c r="F5" t="s">
        <v>133</v>
      </c>
      <c r="G5" t="s">
        <v>134</v>
      </c>
    </row>
    <row r="6" spans="1:7" x14ac:dyDescent="0.3">
      <c r="A6" t="s">
        <v>65</v>
      </c>
      <c r="B6" t="s">
        <v>135</v>
      </c>
      <c r="C6" t="s">
        <v>136</v>
      </c>
      <c r="D6" t="s">
        <v>137</v>
      </c>
      <c r="E6" t="s">
        <v>138</v>
      </c>
      <c r="F6" t="s">
        <v>139</v>
      </c>
      <c r="G6" t="s">
        <v>140</v>
      </c>
    </row>
    <row r="7" spans="1:7" x14ac:dyDescent="0.3">
      <c r="A7" t="s">
        <v>76</v>
      </c>
      <c r="B7" t="s">
        <v>141</v>
      </c>
      <c r="C7" t="s">
        <v>142</v>
      </c>
      <c r="D7" t="s">
        <v>143</v>
      </c>
      <c r="E7" t="s">
        <v>144</v>
      </c>
      <c r="F7" t="s">
        <v>145</v>
      </c>
      <c r="G7" t="s">
        <v>146</v>
      </c>
    </row>
    <row r="8" spans="1:7" x14ac:dyDescent="0.3">
      <c r="A8" t="s">
        <v>87</v>
      </c>
      <c r="B8" t="s">
        <v>147</v>
      </c>
      <c r="C8" t="s">
        <v>148</v>
      </c>
      <c r="D8" t="s">
        <v>149</v>
      </c>
      <c r="E8" t="s">
        <v>150</v>
      </c>
      <c r="F8" t="s">
        <v>151</v>
      </c>
      <c r="G8" t="s">
        <v>152</v>
      </c>
    </row>
    <row r="9" spans="1:7" x14ac:dyDescent="0.3">
      <c r="A9" t="s">
        <v>98</v>
      </c>
      <c r="B9" t="s">
        <v>153</v>
      </c>
      <c r="C9" t="s">
        <v>154</v>
      </c>
      <c r="D9" t="s">
        <v>155</v>
      </c>
      <c r="E9" t="s">
        <v>156</v>
      </c>
      <c r="F9" t="s">
        <v>157</v>
      </c>
      <c r="G9" t="s">
        <v>158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FF94-C715-4F44-9AE7-AAC3AF84903B}">
  <dimension ref="A1:H34"/>
  <sheetViews>
    <sheetView workbookViewId="0"/>
  </sheetViews>
  <sheetFormatPr defaultRowHeight="14.4" x14ac:dyDescent="0.3"/>
  <cols>
    <col min="1" max="1" width="11" bestFit="1" customWidth="1"/>
    <col min="2" max="2" width="18.21875" bestFit="1" customWidth="1"/>
    <col min="3" max="3" width="10.33203125" bestFit="1" customWidth="1"/>
    <col min="4" max="4" width="12.109375" bestFit="1" customWidth="1"/>
    <col min="5" max="5" width="13.109375" bestFit="1" customWidth="1"/>
    <col min="6" max="6" width="6.21875" bestFit="1" customWidth="1"/>
    <col min="7" max="7" width="14.109375" bestFit="1" customWidth="1"/>
    <col min="8" max="8" width="20"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33</v>
      </c>
      <c r="G2" t="s">
        <v>13</v>
      </c>
      <c r="H2" t="s">
        <v>14</v>
      </c>
    </row>
    <row r="3" spans="1:8" x14ac:dyDescent="0.3">
      <c r="A3" t="s">
        <v>15</v>
      </c>
      <c r="B3" t="s">
        <v>16</v>
      </c>
      <c r="C3" t="s">
        <v>10</v>
      </c>
      <c r="D3" t="s">
        <v>17</v>
      </c>
      <c r="E3" t="s">
        <v>12</v>
      </c>
      <c r="F3">
        <v>31</v>
      </c>
      <c r="G3" t="s">
        <v>13</v>
      </c>
      <c r="H3" t="s">
        <v>18</v>
      </c>
    </row>
    <row r="4" spans="1:8" x14ac:dyDescent="0.3">
      <c r="A4" t="s">
        <v>19</v>
      </c>
      <c r="B4" t="s">
        <v>20</v>
      </c>
      <c r="C4" t="s">
        <v>10</v>
      </c>
      <c r="D4" t="s">
        <v>21</v>
      </c>
      <c r="E4" t="s">
        <v>12</v>
      </c>
      <c r="F4">
        <v>26</v>
      </c>
      <c r="G4" t="s">
        <v>22</v>
      </c>
      <c r="H4" t="s">
        <v>23</v>
      </c>
    </row>
    <row r="5" spans="1:8" x14ac:dyDescent="0.3">
      <c r="A5" t="s">
        <v>24</v>
      </c>
      <c r="B5" t="s">
        <v>25</v>
      </c>
      <c r="C5" t="s">
        <v>10</v>
      </c>
      <c r="D5" t="s">
        <v>26</v>
      </c>
      <c r="E5" t="s">
        <v>12</v>
      </c>
      <c r="F5">
        <v>22</v>
      </c>
      <c r="G5" t="s">
        <v>22</v>
      </c>
      <c r="H5" t="s">
        <v>14</v>
      </c>
    </row>
    <row r="6" spans="1:8" x14ac:dyDescent="0.3">
      <c r="A6" t="s">
        <v>27</v>
      </c>
      <c r="B6" t="s">
        <v>28</v>
      </c>
      <c r="C6" t="s">
        <v>10</v>
      </c>
      <c r="D6" t="s">
        <v>26</v>
      </c>
      <c r="E6" t="s">
        <v>12</v>
      </c>
      <c r="F6">
        <v>31</v>
      </c>
      <c r="G6" t="s">
        <v>13</v>
      </c>
      <c r="H6" t="s">
        <v>29</v>
      </c>
    </row>
    <row r="7" spans="1:8" x14ac:dyDescent="0.3">
      <c r="A7" t="s">
        <v>30</v>
      </c>
      <c r="B7" t="s">
        <v>31</v>
      </c>
      <c r="C7" t="s">
        <v>32</v>
      </c>
      <c r="D7" t="s">
        <v>26</v>
      </c>
      <c r="E7" t="s">
        <v>12</v>
      </c>
      <c r="F7">
        <v>31</v>
      </c>
      <c r="G7" t="s">
        <v>22</v>
      </c>
      <c r="H7" t="s">
        <v>29</v>
      </c>
    </row>
    <row r="8" spans="1:8" x14ac:dyDescent="0.3">
      <c r="A8" t="s">
        <v>33</v>
      </c>
      <c r="B8" t="s">
        <v>34</v>
      </c>
      <c r="C8" t="s">
        <v>32</v>
      </c>
      <c r="D8" t="s">
        <v>17</v>
      </c>
      <c r="E8" t="s">
        <v>12</v>
      </c>
      <c r="F8">
        <v>32</v>
      </c>
      <c r="G8" t="s">
        <v>13</v>
      </c>
      <c r="H8" t="s">
        <v>35</v>
      </c>
    </row>
    <row r="9" spans="1:8" x14ac:dyDescent="0.3">
      <c r="A9" t="s">
        <v>36</v>
      </c>
      <c r="B9" t="s">
        <v>37</v>
      </c>
      <c r="C9" t="s">
        <v>32</v>
      </c>
      <c r="D9" t="s">
        <v>26</v>
      </c>
      <c r="E9" t="s">
        <v>38</v>
      </c>
      <c r="F9">
        <v>33</v>
      </c>
      <c r="G9" t="s">
        <v>13</v>
      </c>
      <c r="H9" t="s">
        <v>29</v>
      </c>
    </row>
    <row r="10" spans="1:8" x14ac:dyDescent="0.3">
      <c r="A10" t="s">
        <v>39</v>
      </c>
      <c r="B10" t="s">
        <v>40</v>
      </c>
      <c r="C10" t="s">
        <v>32</v>
      </c>
      <c r="D10" t="s">
        <v>17</v>
      </c>
      <c r="E10" t="s">
        <v>41</v>
      </c>
      <c r="F10">
        <v>22</v>
      </c>
      <c r="G10" t="s">
        <v>13</v>
      </c>
      <c r="H10" t="s">
        <v>18</v>
      </c>
    </row>
    <row r="11" spans="1:8" x14ac:dyDescent="0.3">
      <c r="A11" t="s">
        <v>42</v>
      </c>
      <c r="B11" t="s">
        <v>43</v>
      </c>
      <c r="C11" t="s">
        <v>44</v>
      </c>
      <c r="D11" t="s">
        <v>11</v>
      </c>
      <c r="E11" t="s">
        <v>12</v>
      </c>
      <c r="F11">
        <v>36</v>
      </c>
      <c r="G11" t="s">
        <v>13</v>
      </c>
      <c r="H11" t="s">
        <v>29</v>
      </c>
    </row>
    <row r="12" spans="1:8" x14ac:dyDescent="0.3">
      <c r="A12" t="s">
        <v>45</v>
      </c>
      <c r="B12" t="s">
        <v>46</v>
      </c>
      <c r="C12" t="s">
        <v>44</v>
      </c>
      <c r="D12" t="s">
        <v>17</v>
      </c>
      <c r="E12" t="s">
        <v>12</v>
      </c>
      <c r="F12">
        <v>31</v>
      </c>
      <c r="G12" t="s">
        <v>13</v>
      </c>
      <c r="H12" t="s">
        <v>18</v>
      </c>
    </row>
    <row r="13" spans="1:8" x14ac:dyDescent="0.3">
      <c r="A13" t="s">
        <v>47</v>
      </c>
      <c r="B13" t="s">
        <v>48</v>
      </c>
      <c r="C13" t="s">
        <v>44</v>
      </c>
      <c r="D13" t="s">
        <v>26</v>
      </c>
      <c r="E13" t="s">
        <v>49</v>
      </c>
      <c r="F13">
        <v>36</v>
      </c>
      <c r="G13" t="s">
        <v>13</v>
      </c>
      <c r="H13" t="s">
        <v>14</v>
      </c>
    </row>
    <row r="14" spans="1:8" x14ac:dyDescent="0.3">
      <c r="A14" t="s">
        <v>50</v>
      </c>
      <c r="B14" t="s">
        <v>51</v>
      </c>
      <c r="C14" t="s">
        <v>44</v>
      </c>
      <c r="D14" t="s">
        <v>21</v>
      </c>
      <c r="E14" t="s">
        <v>12</v>
      </c>
      <c r="F14">
        <v>39</v>
      </c>
      <c r="G14" t="s">
        <v>13</v>
      </c>
      <c r="H14" t="s">
        <v>23</v>
      </c>
    </row>
    <row r="15" spans="1:8" x14ac:dyDescent="0.3">
      <c r="A15" t="s">
        <v>52</v>
      </c>
      <c r="B15" t="s">
        <v>53</v>
      </c>
      <c r="C15" t="s">
        <v>54</v>
      </c>
      <c r="D15" t="s">
        <v>11</v>
      </c>
      <c r="E15" t="s">
        <v>12</v>
      </c>
      <c r="F15">
        <v>27</v>
      </c>
      <c r="G15" t="s">
        <v>22</v>
      </c>
      <c r="H15" t="s">
        <v>14</v>
      </c>
    </row>
    <row r="16" spans="1:8" x14ac:dyDescent="0.3">
      <c r="A16" t="s">
        <v>55</v>
      </c>
      <c r="B16" t="s">
        <v>56</v>
      </c>
      <c r="C16" t="s">
        <v>54</v>
      </c>
      <c r="D16" t="s">
        <v>26</v>
      </c>
      <c r="E16" t="s">
        <v>57</v>
      </c>
      <c r="F16">
        <v>36</v>
      </c>
      <c r="G16" t="s">
        <v>13</v>
      </c>
      <c r="H16" t="s">
        <v>18</v>
      </c>
    </row>
    <row r="17" spans="1:8" x14ac:dyDescent="0.3">
      <c r="A17" t="s">
        <v>58</v>
      </c>
      <c r="B17" t="s">
        <v>59</v>
      </c>
      <c r="C17" t="s">
        <v>54</v>
      </c>
      <c r="D17" t="s">
        <v>26</v>
      </c>
      <c r="E17" t="s">
        <v>57</v>
      </c>
      <c r="F17">
        <v>36</v>
      </c>
      <c r="G17" t="s">
        <v>22</v>
      </c>
      <c r="H17" t="s">
        <v>14</v>
      </c>
    </row>
    <row r="18" spans="1:8" x14ac:dyDescent="0.3">
      <c r="A18" t="s">
        <v>60</v>
      </c>
      <c r="B18" t="s">
        <v>61</v>
      </c>
      <c r="C18" t="s">
        <v>54</v>
      </c>
      <c r="D18" t="s">
        <v>17</v>
      </c>
      <c r="E18" t="s">
        <v>12</v>
      </c>
      <c r="F18">
        <v>33</v>
      </c>
      <c r="G18" t="s">
        <v>13</v>
      </c>
      <c r="H18" t="s">
        <v>62</v>
      </c>
    </row>
    <row r="19" spans="1:8" x14ac:dyDescent="0.3">
      <c r="A19" t="s">
        <v>63</v>
      </c>
      <c r="B19" t="s">
        <v>64</v>
      </c>
      <c r="C19" t="s">
        <v>65</v>
      </c>
      <c r="D19" t="s">
        <v>11</v>
      </c>
      <c r="E19" t="s">
        <v>49</v>
      </c>
      <c r="F19">
        <v>38</v>
      </c>
      <c r="G19" t="s">
        <v>22</v>
      </c>
      <c r="H19" t="s">
        <v>62</v>
      </c>
    </row>
    <row r="20" spans="1:8" x14ac:dyDescent="0.3">
      <c r="A20" t="s">
        <v>66</v>
      </c>
      <c r="B20" t="s">
        <v>67</v>
      </c>
      <c r="C20" t="s">
        <v>65</v>
      </c>
      <c r="D20" t="s">
        <v>17</v>
      </c>
      <c r="E20" t="s">
        <v>12</v>
      </c>
      <c r="F20">
        <v>30</v>
      </c>
      <c r="G20" t="s">
        <v>22</v>
      </c>
      <c r="H20" t="s">
        <v>68</v>
      </c>
    </row>
    <row r="21" spans="1:8" x14ac:dyDescent="0.3">
      <c r="A21" t="s">
        <v>69</v>
      </c>
      <c r="B21" t="s">
        <v>70</v>
      </c>
      <c r="C21" t="s">
        <v>65</v>
      </c>
      <c r="D21" t="s">
        <v>26</v>
      </c>
      <c r="E21" t="s">
        <v>49</v>
      </c>
      <c r="F21">
        <v>33</v>
      </c>
      <c r="G21" t="s">
        <v>13</v>
      </c>
      <c r="H21" t="s">
        <v>29</v>
      </c>
    </row>
    <row r="22" spans="1:8" x14ac:dyDescent="0.3">
      <c r="A22" t="s">
        <v>71</v>
      </c>
      <c r="B22" t="s">
        <v>72</v>
      </c>
      <c r="C22" t="s">
        <v>65</v>
      </c>
      <c r="D22" t="s">
        <v>26</v>
      </c>
      <c r="E22" t="s">
        <v>12</v>
      </c>
      <c r="F22">
        <v>31</v>
      </c>
      <c r="G22" t="s">
        <v>22</v>
      </c>
      <c r="H22" t="s">
        <v>73</v>
      </c>
    </row>
    <row r="23" spans="1:8" x14ac:dyDescent="0.3">
      <c r="A23" t="s">
        <v>74</v>
      </c>
      <c r="B23" t="s">
        <v>75</v>
      </c>
      <c r="C23" t="s">
        <v>76</v>
      </c>
      <c r="D23" t="s">
        <v>21</v>
      </c>
      <c r="E23" t="s">
        <v>77</v>
      </c>
      <c r="F23">
        <v>34</v>
      </c>
      <c r="G23" t="s">
        <v>13</v>
      </c>
      <c r="H23" t="s">
        <v>23</v>
      </c>
    </row>
    <row r="24" spans="1:8" x14ac:dyDescent="0.3">
      <c r="A24" t="s">
        <v>78</v>
      </c>
      <c r="B24" t="s">
        <v>79</v>
      </c>
      <c r="C24" t="s">
        <v>76</v>
      </c>
      <c r="D24" t="s">
        <v>17</v>
      </c>
      <c r="E24" t="s">
        <v>12</v>
      </c>
      <c r="F24">
        <v>34</v>
      </c>
      <c r="G24" t="s">
        <v>13</v>
      </c>
      <c r="H24" t="s">
        <v>62</v>
      </c>
    </row>
    <row r="25" spans="1:8" x14ac:dyDescent="0.3">
      <c r="A25" t="s">
        <v>80</v>
      </c>
      <c r="B25" t="s">
        <v>81</v>
      </c>
      <c r="C25" t="s">
        <v>76</v>
      </c>
      <c r="D25" t="s">
        <v>17</v>
      </c>
      <c r="E25" t="s">
        <v>38</v>
      </c>
      <c r="F25">
        <v>35</v>
      </c>
      <c r="G25" t="s">
        <v>22</v>
      </c>
      <c r="H25" t="s">
        <v>82</v>
      </c>
    </row>
    <row r="26" spans="1:8" x14ac:dyDescent="0.3">
      <c r="A26" t="s">
        <v>83</v>
      </c>
      <c r="B26" t="s">
        <v>84</v>
      </c>
      <c r="C26" t="s">
        <v>76</v>
      </c>
      <c r="D26" t="s">
        <v>11</v>
      </c>
      <c r="E26" t="s">
        <v>12</v>
      </c>
      <c r="F26">
        <v>23</v>
      </c>
      <c r="G26" t="s">
        <v>22</v>
      </c>
      <c r="H26" t="s">
        <v>62</v>
      </c>
    </row>
    <row r="27" spans="1:8" x14ac:dyDescent="0.3">
      <c r="A27" t="s">
        <v>85</v>
      </c>
      <c r="B27" t="s">
        <v>86</v>
      </c>
      <c r="C27" t="s">
        <v>87</v>
      </c>
      <c r="D27" t="s">
        <v>26</v>
      </c>
      <c r="E27" t="s">
        <v>77</v>
      </c>
      <c r="F27">
        <v>31</v>
      </c>
      <c r="G27" t="s">
        <v>13</v>
      </c>
      <c r="H27" t="s">
        <v>62</v>
      </c>
    </row>
    <row r="28" spans="1:8" x14ac:dyDescent="0.3">
      <c r="A28" t="s">
        <v>88</v>
      </c>
      <c r="B28" t="s">
        <v>89</v>
      </c>
      <c r="C28" t="s">
        <v>87</v>
      </c>
      <c r="D28" t="s">
        <v>17</v>
      </c>
      <c r="E28" t="s">
        <v>12</v>
      </c>
      <c r="F28">
        <v>25</v>
      </c>
      <c r="G28" t="s">
        <v>22</v>
      </c>
      <c r="H28" t="s">
        <v>90</v>
      </c>
    </row>
    <row r="29" spans="1:8" x14ac:dyDescent="0.3">
      <c r="A29" t="s">
        <v>91</v>
      </c>
      <c r="B29" t="s">
        <v>92</v>
      </c>
      <c r="C29" t="s">
        <v>87</v>
      </c>
      <c r="D29" t="s">
        <v>21</v>
      </c>
      <c r="E29" t="s">
        <v>12</v>
      </c>
      <c r="F29">
        <v>31</v>
      </c>
      <c r="G29" t="s">
        <v>13</v>
      </c>
      <c r="H29" t="s">
        <v>23</v>
      </c>
    </row>
    <row r="30" spans="1:8" x14ac:dyDescent="0.3">
      <c r="A30" t="s">
        <v>93</v>
      </c>
      <c r="B30" t="s">
        <v>94</v>
      </c>
      <c r="C30" t="s">
        <v>87</v>
      </c>
      <c r="D30" t="s">
        <v>17</v>
      </c>
      <c r="E30" t="s">
        <v>95</v>
      </c>
      <c r="F30">
        <v>29</v>
      </c>
      <c r="G30" t="s">
        <v>13</v>
      </c>
      <c r="H30" t="s">
        <v>18</v>
      </c>
    </row>
    <row r="31" spans="1:8" x14ac:dyDescent="0.3">
      <c r="A31" t="s">
        <v>96</v>
      </c>
      <c r="B31" t="s">
        <v>97</v>
      </c>
      <c r="C31" t="s">
        <v>98</v>
      </c>
      <c r="D31" t="s">
        <v>11</v>
      </c>
      <c r="E31" t="s">
        <v>12</v>
      </c>
      <c r="F31">
        <v>24</v>
      </c>
      <c r="G31" t="s">
        <v>22</v>
      </c>
      <c r="H31" t="s">
        <v>73</v>
      </c>
    </row>
    <row r="32" spans="1:8" x14ac:dyDescent="0.3">
      <c r="A32" t="s">
        <v>99</v>
      </c>
      <c r="B32" t="s">
        <v>100</v>
      </c>
      <c r="C32" t="s">
        <v>98</v>
      </c>
      <c r="D32" t="s">
        <v>17</v>
      </c>
      <c r="E32" t="s">
        <v>12</v>
      </c>
      <c r="F32">
        <v>35</v>
      </c>
      <c r="G32" t="s">
        <v>13</v>
      </c>
      <c r="H32" t="s">
        <v>29</v>
      </c>
    </row>
    <row r="33" spans="1:8" x14ac:dyDescent="0.3">
      <c r="A33" t="s">
        <v>101</v>
      </c>
      <c r="B33" t="s">
        <v>102</v>
      </c>
      <c r="C33" t="s">
        <v>98</v>
      </c>
      <c r="D33" t="s">
        <v>21</v>
      </c>
      <c r="E33" t="s">
        <v>95</v>
      </c>
      <c r="F33">
        <v>33</v>
      </c>
      <c r="G33" t="s">
        <v>13</v>
      </c>
      <c r="H33" t="s">
        <v>14</v>
      </c>
    </row>
    <row r="34" spans="1:8" x14ac:dyDescent="0.3">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4CD6-15FF-45F9-BB8A-73344C9B5689}">
  <dimension ref="A1:U11"/>
  <sheetViews>
    <sheetView workbookViewId="0">
      <selection activeCell="D23" sqref="D23"/>
    </sheetView>
  </sheetViews>
  <sheetFormatPr defaultRowHeight="14.4" x14ac:dyDescent="0.3"/>
  <cols>
    <col min="1" max="1" width="21.5546875" bestFit="1" customWidth="1"/>
    <col min="2" max="2" width="17.6640625" bestFit="1" customWidth="1"/>
    <col min="3" max="3" width="21.5546875" bestFit="1" customWidth="1"/>
    <col min="4" max="5" width="22" bestFit="1" customWidth="1"/>
    <col min="6" max="6" width="24.33203125" bestFit="1" customWidth="1"/>
    <col min="7" max="7" width="25.77734375" bestFit="1" customWidth="1"/>
    <col min="8" max="8" width="25.6640625" bestFit="1" customWidth="1"/>
    <col min="9" max="10" width="24.33203125" bestFit="1" customWidth="1"/>
    <col min="11" max="12" width="27.109375" bestFit="1" customWidth="1"/>
    <col min="13" max="14" width="25.109375" bestFit="1" customWidth="1"/>
    <col min="15" max="15" width="22.77734375" bestFit="1" customWidth="1"/>
    <col min="16" max="16" width="23.5546875" bestFit="1" customWidth="1"/>
    <col min="17" max="17" width="21.77734375" bestFit="1" customWidth="1"/>
    <col min="18" max="18" width="25.33203125" bestFit="1" customWidth="1"/>
    <col min="19" max="19" width="24.88671875" bestFit="1" customWidth="1"/>
    <col min="20" max="20" width="24.33203125" bestFit="1" customWidth="1"/>
    <col min="21" max="21" width="29.44140625" bestFit="1" customWidth="1"/>
  </cols>
  <sheetData>
    <row r="1" spans="1:21" x14ac:dyDescent="0.3">
      <c r="A1" s="14" t="s">
        <v>369</v>
      </c>
    </row>
    <row r="3" spans="1:21" x14ac:dyDescent="0.3">
      <c r="A3" t="s">
        <v>345</v>
      </c>
      <c r="B3" t="s">
        <v>346</v>
      </c>
      <c r="C3" t="s">
        <v>347</v>
      </c>
      <c r="D3" t="s">
        <v>348</v>
      </c>
      <c r="E3" t="s">
        <v>349</v>
      </c>
      <c r="F3" t="s">
        <v>350</v>
      </c>
      <c r="G3" t="s">
        <v>351</v>
      </c>
      <c r="H3" t="s">
        <v>352</v>
      </c>
      <c r="I3" t="s">
        <v>353</v>
      </c>
      <c r="J3" t="s">
        <v>354</v>
      </c>
      <c r="K3" t="s">
        <v>355</v>
      </c>
      <c r="L3" t="s">
        <v>356</v>
      </c>
      <c r="M3" t="s">
        <v>357</v>
      </c>
      <c r="N3" t="s">
        <v>358</v>
      </c>
      <c r="O3" t="s">
        <v>359</v>
      </c>
      <c r="P3" t="s">
        <v>360</v>
      </c>
      <c r="Q3" t="s">
        <v>361</v>
      </c>
      <c r="R3" t="s">
        <v>362</v>
      </c>
      <c r="S3" t="s">
        <v>363</v>
      </c>
      <c r="T3" t="s">
        <v>364</v>
      </c>
      <c r="U3" t="s">
        <v>365</v>
      </c>
    </row>
    <row r="4" spans="1:21" x14ac:dyDescent="0.3">
      <c r="A4" t="s">
        <v>173</v>
      </c>
      <c r="B4" s="1">
        <v>45738</v>
      </c>
      <c r="C4" t="s">
        <v>174</v>
      </c>
      <c r="D4" t="s">
        <v>32</v>
      </c>
      <c r="E4" t="s">
        <v>44</v>
      </c>
      <c r="F4" t="s">
        <v>32</v>
      </c>
      <c r="G4" t="s">
        <v>32</v>
      </c>
      <c r="H4" t="s">
        <v>30</v>
      </c>
      <c r="I4">
        <v>192</v>
      </c>
      <c r="J4">
        <v>174</v>
      </c>
      <c r="K4">
        <v>4</v>
      </c>
      <c r="L4">
        <v>8</v>
      </c>
      <c r="M4">
        <v>20</v>
      </c>
      <c r="N4">
        <v>20</v>
      </c>
      <c r="O4">
        <v>366</v>
      </c>
      <c r="P4">
        <v>18</v>
      </c>
      <c r="Q4" t="s">
        <v>366</v>
      </c>
      <c r="R4" t="s">
        <v>117</v>
      </c>
      <c r="S4" t="s">
        <v>120</v>
      </c>
      <c r="T4" t="s">
        <v>120</v>
      </c>
      <c r="U4" t="s">
        <v>367</v>
      </c>
    </row>
    <row r="5" spans="1:21" x14ac:dyDescent="0.3">
      <c r="A5" t="s">
        <v>185</v>
      </c>
      <c r="B5" s="1">
        <v>45743</v>
      </c>
      <c r="C5" t="s">
        <v>174</v>
      </c>
      <c r="D5" t="s">
        <v>32</v>
      </c>
      <c r="E5" t="s">
        <v>87</v>
      </c>
      <c r="F5" t="s">
        <v>87</v>
      </c>
      <c r="G5" t="s">
        <v>32</v>
      </c>
      <c r="H5" t="s">
        <v>33</v>
      </c>
      <c r="I5">
        <v>178</v>
      </c>
      <c r="J5">
        <v>169</v>
      </c>
      <c r="K5">
        <v>6</v>
      </c>
      <c r="L5">
        <v>9</v>
      </c>
      <c r="M5">
        <v>20</v>
      </c>
      <c r="N5">
        <v>20</v>
      </c>
      <c r="O5">
        <v>347</v>
      </c>
      <c r="P5">
        <v>9</v>
      </c>
      <c r="Q5" t="s">
        <v>366</v>
      </c>
      <c r="R5" t="s">
        <v>117</v>
      </c>
      <c r="S5" t="s">
        <v>120</v>
      </c>
      <c r="T5" t="s">
        <v>120</v>
      </c>
      <c r="U5" t="s">
        <v>367</v>
      </c>
    </row>
    <row r="6" spans="1:21" x14ac:dyDescent="0.3">
      <c r="A6" t="s">
        <v>197</v>
      </c>
      <c r="B6" s="1">
        <v>45753</v>
      </c>
      <c r="C6" t="s">
        <v>174</v>
      </c>
      <c r="D6" t="s">
        <v>32</v>
      </c>
      <c r="E6" t="s">
        <v>10</v>
      </c>
      <c r="F6" t="s">
        <v>10</v>
      </c>
      <c r="G6" t="s">
        <v>32</v>
      </c>
      <c r="H6" t="s">
        <v>30</v>
      </c>
      <c r="I6">
        <v>180</v>
      </c>
      <c r="J6">
        <v>178</v>
      </c>
      <c r="K6">
        <v>5</v>
      </c>
      <c r="L6">
        <v>8</v>
      </c>
      <c r="M6">
        <v>20</v>
      </c>
      <c r="N6">
        <v>20</v>
      </c>
      <c r="O6">
        <v>358</v>
      </c>
      <c r="P6">
        <v>2</v>
      </c>
      <c r="Q6" t="s">
        <v>366</v>
      </c>
      <c r="R6" t="s">
        <v>117</v>
      </c>
      <c r="S6" t="s">
        <v>120</v>
      </c>
      <c r="T6" t="s">
        <v>120</v>
      </c>
      <c r="U6" t="s">
        <v>367</v>
      </c>
    </row>
    <row r="7" spans="1:21" x14ac:dyDescent="0.3">
      <c r="A7" t="s">
        <v>203</v>
      </c>
      <c r="B7" s="1">
        <v>45759</v>
      </c>
      <c r="C7" t="s">
        <v>174</v>
      </c>
      <c r="D7" t="s">
        <v>32</v>
      </c>
      <c r="E7" t="s">
        <v>44</v>
      </c>
      <c r="F7" t="s">
        <v>44</v>
      </c>
      <c r="G7" t="s">
        <v>44</v>
      </c>
      <c r="H7" t="s">
        <v>42</v>
      </c>
      <c r="I7">
        <v>183</v>
      </c>
      <c r="J7">
        <v>184</v>
      </c>
      <c r="K7">
        <v>8</v>
      </c>
      <c r="L7">
        <v>6</v>
      </c>
      <c r="M7">
        <v>20</v>
      </c>
      <c r="N7">
        <v>19.399999999999999</v>
      </c>
      <c r="O7">
        <v>367</v>
      </c>
      <c r="P7">
        <v>1</v>
      </c>
      <c r="Q7" t="s">
        <v>368</v>
      </c>
      <c r="R7" t="s">
        <v>117</v>
      </c>
      <c r="S7" t="s">
        <v>120</v>
      </c>
      <c r="T7" t="s">
        <v>120</v>
      </c>
      <c r="U7" t="s">
        <v>367</v>
      </c>
    </row>
    <row r="8" spans="1:21" x14ac:dyDescent="0.3">
      <c r="A8" t="s">
        <v>210</v>
      </c>
      <c r="B8" s="1">
        <v>45766</v>
      </c>
      <c r="C8" t="s">
        <v>174</v>
      </c>
      <c r="D8" t="s">
        <v>32</v>
      </c>
      <c r="E8" t="s">
        <v>54</v>
      </c>
      <c r="F8" t="s">
        <v>54</v>
      </c>
      <c r="G8" t="s">
        <v>54</v>
      </c>
      <c r="H8" t="s">
        <v>52</v>
      </c>
      <c r="I8">
        <v>179</v>
      </c>
      <c r="J8">
        <v>180</v>
      </c>
      <c r="K8">
        <v>6</v>
      </c>
      <c r="L8">
        <v>5</v>
      </c>
      <c r="M8">
        <v>20</v>
      </c>
      <c r="N8">
        <v>19.2</v>
      </c>
      <c r="O8">
        <v>359</v>
      </c>
      <c r="P8">
        <v>1</v>
      </c>
      <c r="Q8" t="s">
        <v>368</v>
      </c>
      <c r="R8" t="s">
        <v>117</v>
      </c>
      <c r="S8" t="s">
        <v>120</v>
      </c>
      <c r="T8" t="s">
        <v>120</v>
      </c>
      <c r="U8" t="s">
        <v>367</v>
      </c>
    </row>
    <row r="9" spans="1:21" x14ac:dyDescent="0.3">
      <c r="A9" t="s">
        <v>218</v>
      </c>
      <c r="B9" s="1">
        <v>45774</v>
      </c>
      <c r="C9" t="s">
        <v>174</v>
      </c>
      <c r="D9" t="s">
        <v>32</v>
      </c>
      <c r="E9" t="s">
        <v>65</v>
      </c>
      <c r="F9" t="s">
        <v>65</v>
      </c>
      <c r="G9" t="s">
        <v>32</v>
      </c>
      <c r="H9" t="s">
        <v>33</v>
      </c>
      <c r="I9">
        <v>163</v>
      </c>
      <c r="J9">
        <v>158</v>
      </c>
      <c r="K9">
        <v>7</v>
      </c>
      <c r="L9">
        <v>8</v>
      </c>
      <c r="M9">
        <v>20</v>
      </c>
      <c r="N9">
        <v>20</v>
      </c>
      <c r="O9">
        <v>321</v>
      </c>
      <c r="P9">
        <v>5</v>
      </c>
      <c r="Q9" t="s">
        <v>366</v>
      </c>
      <c r="R9" t="s">
        <v>117</v>
      </c>
      <c r="S9" t="s">
        <v>120</v>
      </c>
      <c r="T9" t="s">
        <v>120</v>
      </c>
      <c r="U9" t="s">
        <v>367</v>
      </c>
    </row>
    <row r="10" spans="1:21" x14ac:dyDescent="0.3">
      <c r="A10" t="s">
        <v>226</v>
      </c>
      <c r="B10" s="1">
        <v>45782</v>
      </c>
      <c r="C10" t="s">
        <v>174</v>
      </c>
      <c r="D10" t="s">
        <v>32</v>
      </c>
      <c r="E10" t="s">
        <v>76</v>
      </c>
      <c r="F10" t="s">
        <v>76</v>
      </c>
      <c r="G10" t="s">
        <v>32</v>
      </c>
      <c r="H10" t="s">
        <v>30</v>
      </c>
      <c r="I10">
        <v>192</v>
      </c>
      <c r="J10">
        <v>174</v>
      </c>
      <c r="K10">
        <v>4</v>
      </c>
      <c r="L10">
        <v>8</v>
      </c>
      <c r="M10">
        <v>20</v>
      </c>
      <c r="N10">
        <v>20</v>
      </c>
      <c r="O10">
        <v>366</v>
      </c>
      <c r="P10">
        <v>18</v>
      </c>
      <c r="Q10" t="s">
        <v>366</v>
      </c>
      <c r="R10" t="s">
        <v>117</v>
      </c>
      <c r="S10" t="s">
        <v>120</v>
      </c>
      <c r="T10" t="s">
        <v>120</v>
      </c>
      <c r="U10" t="s">
        <v>367</v>
      </c>
    </row>
    <row r="11" spans="1:21" x14ac:dyDescent="0.3">
      <c r="A11" t="s">
        <v>237</v>
      </c>
      <c r="B11" s="1">
        <v>45793</v>
      </c>
      <c r="C11" t="s">
        <v>174</v>
      </c>
      <c r="D11" t="s">
        <v>32</v>
      </c>
      <c r="E11" t="s">
        <v>98</v>
      </c>
      <c r="F11" t="s">
        <v>65</v>
      </c>
      <c r="G11" t="s">
        <v>44</v>
      </c>
      <c r="H11" t="s">
        <v>42</v>
      </c>
      <c r="I11">
        <v>198</v>
      </c>
      <c r="J11">
        <v>187</v>
      </c>
      <c r="K11">
        <v>3</v>
      </c>
      <c r="L11">
        <v>8</v>
      </c>
      <c r="M11">
        <v>20</v>
      </c>
      <c r="N11">
        <v>20</v>
      </c>
      <c r="O11">
        <v>385</v>
      </c>
      <c r="P11">
        <v>11</v>
      </c>
      <c r="Q11" t="s">
        <v>366</v>
      </c>
      <c r="R11" t="s">
        <v>117</v>
      </c>
      <c r="S11" t="s">
        <v>120</v>
      </c>
      <c r="T11" t="s">
        <v>120</v>
      </c>
      <c r="U11" t="s">
        <v>367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B9B0-3F31-4301-815E-9DB2F2120352}">
  <dimension ref="A1:U63"/>
  <sheetViews>
    <sheetView workbookViewId="0"/>
  </sheetViews>
  <sheetFormatPr defaultRowHeight="14.4" x14ac:dyDescent="0.3"/>
  <cols>
    <col min="1" max="1" width="21.5546875" bestFit="1" customWidth="1"/>
    <col min="2" max="2" width="17.6640625" bestFit="1" customWidth="1"/>
    <col min="3" max="3" width="21.5546875" bestFit="1" customWidth="1"/>
    <col min="4" max="5" width="22" bestFit="1" customWidth="1"/>
    <col min="6" max="6" width="24.33203125" bestFit="1" customWidth="1"/>
    <col min="7" max="7" width="25.77734375" bestFit="1" customWidth="1"/>
    <col min="8" max="8" width="25.6640625" bestFit="1" customWidth="1"/>
    <col min="9" max="10" width="24.33203125" bestFit="1" customWidth="1"/>
    <col min="11" max="12" width="27.109375" bestFit="1" customWidth="1"/>
    <col min="13" max="14" width="25.109375" bestFit="1" customWidth="1"/>
    <col min="15" max="15" width="22.77734375" bestFit="1" customWidth="1"/>
    <col min="16" max="16" width="23.5546875" bestFit="1" customWidth="1"/>
    <col min="17" max="17" width="21.77734375" bestFit="1" customWidth="1"/>
    <col min="18" max="18" width="29" bestFit="1" customWidth="1"/>
    <col min="19" max="20" width="39.109375" bestFit="1" customWidth="1"/>
    <col min="21" max="21" width="29.44140625" bestFit="1" customWidth="1"/>
  </cols>
  <sheetData>
    <row r="1" spans="1:21" x14ac:dyDescent="0.3">
      <c r="A1" s="14" t="s">
        <v>378</v>
      </c>
    </row>
    <row r="3" spans="1:21" x14ac:dyDescent="0.3">
      <c r="A3" t="s">
        <v>345</v>
      </c>
      <c r="B3" t="s">
        <v>346</v>
      </c>
      <c r="C3" t="s">
        <v>347</v>
      </c>
      <c r="D3" t="s">
        <v>348</v>
      </c>
      <c r="E3" t="s">
        <v>349</v>
      </c>
      <c r="F3" t="s">
        <v>350</v>
      </c>
      <c r="G3" t="s">
        <v>351</v>
      </c>
      <c r="H3" t="s">
        <v>352</v>
      </c>
      <c r="I3" t="s">
        <v>353</v>
      </c>
      <c r="J3" t="s">
        <v>354</v>
      </c>
      <c r="K3" t="s">
        <v>355</v>
      </c>
      <c r="L3" t="s">
        <v>356</v>
      </c>
      <c r="M3" t="s">
        <v>357</v>
      </c>
      <c r="N3" t="s">
        <v>358</v>
      </c>
      <c r="O3" t="s">
        <v>359</v>
      </c>
      <c r="P3" t="s">
        <v>360</v>
      </c>
      <c r="Q3" t="s">
        <v>361</v>
      </c>
      <c r="R3" t="s">
        <v>362</v>
      </c>
      <c r="S3" t="s">
        <v>363</v>
      </c>
      <c r="T3" t="s">
        <v>364</v>
      </c>
      <c r="U3" t="s">
        <v>365</v>
      </c>
    </row>
    <row r="4" spans="1:21" x14ac:dyDescent="0.3">
      <c r="A4" t="s">
        <v>173</v>
      </c>
      <c r="B4" s="1">
        <v>45738</v>
      </c>
      <c r="C4" t="s">
        <v>174</v>
      </c>
      <c r="D4" t="s">
        <v>32</v>
      </c>
      <c r="E4" t="s">
        <v>44</v>
      </c>
      <c r="F4" t="s">
        <v>32</v>
      </c>
      <c r="G4" t="s">
        <v>32</v>
      </c>
      <c r="H4" t="s">
        <v>30</v>
      </c>
      <c r="I4">
        <v>192</v>
      </c>
      <c r="J4">
        <v>174</v>
      </c>
      <c r="K4">
        <v>4</v>
      </c>
      <c r="L4">
        <v>8</v>
      </c>
      <c r="M4">
        <v>20</v>
      </c>
      <c r="N4">
        <v>20</v>
      </c>
      <c r="O4">
        <v>366</v>
      </c>
      <c r="P4">
        <v>18</v>
      </c>
      <c r="Q4" t="s">
        <v>366</v>
      </c>
      <c r="R4" t="s">
        <v>117</v>
      </c>
      <c r="S4" t="s">
        <v>120</v>
      </c>
      <c r="T4" t="s">
        <v>120</v>
      </c>
      <c r="U4" t="s">
        <v>367</v>
      </c>
    </row>
    <row r="5" spans="1:21" x14ac:dyDescent="0.3">
      <c r="A5" t="s">
        <v>175</v>
      </c>
      <c r="B5" s="1">
        <v>45739</v>
      </c>
      <c r="C5" t="s">
        <v>176</v>
      </c>
      <c r="D5" t="s">
        <v>98</v>
      </c>
      <c r="E5" t="s">
        <v>65</v>
      </c>
      <c r="F5" t="s">
        <v>98</v>
      </c>
      <c r="G5" t="s">
        <v>98</v>
      </c>
      <c r="H5" t="s">
        <v>103</v>
      </c>
      <c r="I5">
        <v>184</v>
      </c>
      <c r="J5">
        <v>183</v>
      </c>
      <c r="K5">
        <v>7</v>
      </c>
      <c r="L5">
        <v>9</v>
      </c>
      <c r="M5">
        <v>20</v>
      </c>
      <c r="N5">
        <v>20</v>
      </c>
      <c r="O5">
        <v>367</v>
      </c>
      <c r="P5">
        <v>1</v>
      </c>
      <c r="Q5" t="s">
        <v>366</v>
      </c>
      <c r="R5" t="s">
        <v>153</v>
      </c>
      <c r="S5" t="s">
        <v>156</v>
      </c>
      <c r="T5" t="s">
        <v>156</v>
      </c>
      <c r="U5" t="s">
        <v>367</v>
      </c>
    </row>
    <row r="6" spans="1:21" x14ac:dyDescent="0.3">
      <c r="A6" t="s">
        <v>177</v>
      </c>
      <c r="B6" s="1">
        <v>45739</v>
      </c>
      <c r="C6" t="s">
        <v>178</v>
      </c>
      <c r="D6" t="s">
        <v>54</v>
      </c>
      <c r="E6" t="s">
        <v>87</v>
      </c>
      <c r="F6" t="s">
        <v>87</v>
      </c>
      <c r="G6" t="s">
        <v>54</v>
      </c>
      <c r="H6" t="s">
        <v>55</v>
      </c>
      <c r="I6">
        <v>208</v>
      </c>
      <c r="J6">
        <v>198</v>
      </c>
      <c r="K6">
        <v>6</v>
      </c>
      <c r="L6">
        <v>7</v>
      </c>
      <c r="M6">
        <v>20</v>
      </c>
      <c r="N6">
        <v>20</v>
      </c>
      <c r="O6">
        <v>406</v>
      </c>
      <c r="P6">
        <v>10</v>
      </c>
      <c r="Q6" t="s">
        <v>366</v>
      </c>
      <c r="R6" t="s">
        <v>129</v>
      </c>
      <c r="S6" t="s">
        <v>132</v>
      </c>
      <c r="T6" t="s">
        <v>132</v>
      </c>
      <c r="U6" t="s">
        <v>367</v>
      </c>
    </row>
    <row r="7" spans="1:21" x14ac:dyDescent="0.3">
      <c r="A7" t="s">
        <v>179</v>
      </c>
      <c r="B7" s="1">
        <v>45740</v>
      </c>
      <c r="C7" t="s">
        <v>180</v>
      </c>
      <c r="D7" t="s">
        <v>76</v>
      </c>
      <c r="E7" t="s">
        <v>10</v>
      </c>
      <c r="F7" t="s">
        <v>10</v>
      </c>
      <c r="G7" t="s">
        <v>76</v>
      </c>
      <c r="H7" t="s">
        <v>74</v>
      </c>
      <c r="I7">
        <v>193</v>
      </c>
      <c r="J7">
        <v>165</v>
      </c>
      <c r="K7">
        <v>5</v>
      </c>
      <c r="L7">
        <v>10</v>
      </c>
      <c r="M7">
        <v>20</v>
      </c>
      <c r="N7">
        <v>17.2</v>
      </c>
      <c r="O7">
        <v>358</v>
      </c>
      <c r="P7">
        <v>28</v>
      </c>
      <c r="Q7" t="s">
        <v>366</v>
      </c>
      <c r="R7" t="s">
        <v>141</v>
      </c>
      <c r="S7" t="s">
        <v>144</v>
      </c>
      <c r="T7" t="s">
        <v>144</v>
      </c>
      <c r="U7" t="s">
        <v>367</v>
      </c>
    </row>
    <row r="8" spans="1:21" x14ac:dyDescent="0.3">
      <c r="A8" t="s">
        <v>181</v>
      </c>
      <c r="B8" s="1">
        <v>45741</v>
      </c>
      <c r="C8" t="s">
        <v>182</v>
      </c>
      <c r="D8" t="s">
        <v>44</v>
      </c>
      <c r="E8" t="s">
        <v>76</v>
      </c>
      <c r="F8" t="s">
        <v>44</v>
      </c>
      <c r="G8" t="s">
        <v>76</v>
      </c>
      <c r="H8" t="s">
        <v>83</v>
      </c>
      <c r="I8">
        <v>181</v>
      </c>
      <c r="J8">
        <v>185</v>
      </c>
      <c r="K8">
        <v>5</v>
      </c>
      <c r="L8">
        <v>4</v>
      </c>
      <c r="M8">
        <v>20</v>
      </c>
      <c r="N8">
        <v>19.3</v>
      </c>
      <c r="O8">
        <v>366</v>
      </c>
      <c r="P8">
        <v>4</v>
      </c>
      <c r="Q8" t="s">
        <v>368</v>
      </c>
      <c r="R8" t="s">
        <v>123</v>
      </c>
      <c r="S8" t="s">
        <v>126</v>
      </c>
      <c r="T8" t="s">
        <v>126</v>
      </c>
      <c r="U8" t="s">
        <v>367</v>
      </c>
    </row>
    <row r="9" spans="1:21" x14ac:dyDescent="0.3">
      <c r="A9" t="s">
        <v>183</v>
      </c>
      <c r="B9" s="1">
        <v>45742</v>
      </c>
      <c r="C9" t="s">
        <v>184</v>
      </c>
      <c r="D9" t="s">
        <v>65</v>
      </c>
      <c r="E9" t="s">
        <v>54</v>
      </c>
      <c r="F9" t="s">
        <v>65</v>
      </c>
      <c r="G9" t="s">
        <v>54</v>
      </c>
      <c r="H9" t="s">
        <v>58</v>
      </c>
      <c r="I9">
        <v>164</v>
      </c>
      <c r="J9">
        <v>165</v>
      </c>
      <c r="K9">
        <v>8</v>
      </c>
      <c r="L9">
        <v>3</v>
      </c>
      <c r="M9">
        <v>20</v>
      </c>
      <c r="N9">
        <v>18.399999999999999</v>
      </c>
      <c r="O9">
        <v>329</v>
      </c>
      <c r="P9">
        <v>1</v>
      </c>
      <c r="Q9" t="s">
        <v>368</v>
      </c>
      <c r="R9" t="s">
        <v>135</v>
      </c>
      <c r="S9" t="s">
        <v>138</v>
      </c>
      <c r="T9" t="s">
        <v>138</v>
      </c>
      <c r="U9" t="s">
        <v>367</v>
      </c>
    </row>
    <row r="10" spans="1:21" x14ac:dyDescent="0.3">
      <c r="A10" t="s">
        <v>185</v>
      </c>
      <c r="B10" s="1">
        <v>45743</v>
      </c>
      <c r="C10" t="s">
        <v>174</v>
      </c>
      <c r="D10" t="s">
        <v>32</v>
      </c>
      <c r="E10" t="s">
        <v>87</v>
      </c>
      <c r="F10" t="s">
        <v>87</v>
      </c>
      <c r="G10" t="s">
        <v>32</v>
      </c>
      <c r="H10" t="s">
        <v>33</v>
      </c>
      <c r="I10">
        <v>178</v>
      </c>
      <c r="J10">
        <v>169</v>
      </c>
      <c r="K10">
        <v>6</v>
      </c>
      <c r="L10">
        <v>9</v>
      </c>
      <c r="M10">
        <v>20</v>
      </c>
      <c r="N10">
        <v>20</v>
      </c>
      <c r="O10">
        <v>347</v>
      </c>
      <c r="P10">
        <v>9</v>
      </c>
      <c r="Q10" t="s">
        <v>366</v>
      </c>
      <c r="R10" t="s">
        <v>117</v>
      </c>
      <c r="S10" t="s">
        <v>120</v>
      </c>
      <c r="T10" t="s">
        <v>120</v>
      </c>
      <c r="U10" t="s">
        <v>367</v>
      </c>
    </row>
    <row r="11" spans="1:21" x14ac:dyDescent="0.3">
      <c r="A11" t="s">
        <v>186</v>
      </c>
      <c r="B11" s="1">
        <v>45744</v>
      </c>
      <c r="C11" t="s">
        <v>187</v>
      </c>
      <c r="D11" t="s">
        <v>10</v>
      </c>
      <c r="E11" t="s">
        <v>98</v>
      </c>
      <c r="F11" t="s">
        <v>10</v>
      </c>
      <c r="G11" t="s">
        <v>98</v>
      </c>
      <c r="H11" t="s">
        <v>101</v>
      </c>
      <c r="I11">
        <v>154</v>
      </c>
      <c r="J11">
        <v>155</v>
      </c>
      <c r="K11">
        <v>10</v>
      </c>
      <c r="L11">
        <v>3</v>
      </c>
      <c r="M11">
        <v>19.5</v>
      </c>
      <c r="N11">
        <v>17</v>
      </c>
      <c r="O11">
        <v>309</v>
      </c>
      <c r="P11">
        <v>1</v>
      </c>
      <c r="Q11" t="s">
        <v>368</v>
      </c>
      <c r="R11" t="s">
        <v>111</v>
      </c>
      <c r="S11" t="s">
        <v>114</v>
      </c>
      <c r="T11" t="s">
        <v>114</v>
      </c>
      <c r="U11" t="s">
        <v>367</v>
      </c>
    </row>
    <row r="12" spans="1:21" x14ac:dyDescent="0.3">
      <c r="A12" t="s">
        <v>188</v>
      </c>
      <c r="B12" s="1">
        <v>45745</v>
      </c>
      <c r="C12" t="s">
        <v>178</v>
      </c>
      <c r="D12" t="s">
        <v>54</v>
      </c>
      <c r="E12" t="s">
        <v>44</v>
      </c>
      <c r="F12" t="s">
        <v>44</v>
      </c>
      <c r="G12" t="s">
        <v>54</v>
      </c>
      <c r="H12" t="s">
        <v>60</v>
      </c>
      <c r="I12">
        <v>171</v>
      </c>
      <c r="J12">
        <v>156</v>
      </c>
      <c r="K12">
        <v>5</v>
      </c>
      <c r="L12">
        <v>9</v>
      </c>
      <c r="M12">
        <v>20</v>
      </c>
      <c r="N12">
        <v>18.3</v>
      </c>
      <c r="O12">
        <v>327</v>
      </c>
      <c r="P12">
        <v>15</v>
      </c>
      <c r="Q12" t="s">
        <v>366</v>
      </c>
      <c r="R12" t="s">
        <v>129</v>
      </c>
      <c r="S12" t="s">
        <v>132</v>
      </c>
      <c r="T12" t="s">
        <v>132</v>
      </c>
      <c r="U12" t="s">
        <v>367</v>
      </c>
    </row>
    <row r="13" spans="1:21" x14ac:dyDescent="0.3">
      <c r="A13" t="s">
        <v>189</v>
      </c>
      <c r="B13" s="1">
        <v>45746</v>
      </c>
      <c r="C13" t="s">
        <v>180</v>
      </c>
      <c r="D13" t="s">
        <v>76</v>
      </c>
      <c r="E13" t="s">
        <v>65</v>
      </c>
      <c r="F13" t="s">
        <v>65</v>
      </c>
      <c r="G13" t="s">
        <v>65</v>
      </c>
      <c r="H13" t="s">
        <v>66</v>
      </c>
      <c r="I13">
        <v>149</v>
      </c>
      <c r="J13">
        <v>150</v>
      </c>
      <c r="K13">
        <v>9</v>
      </c>
      <c r="L13">
        <v>4</v>
      </c>
      <c r="M13">
        <v>20</v>
      </c>
      <c r="N13">
        <v>18.100000000000001</v>
      </c>
      <c r="O13">
        <v>299</v>
      </c>
      <c r="P13">
        <v>1</v>
      </c>
      <c r="Q13" t="s">
        <v>368</v>
      </c>
      <c r="R13" t="s">
        <v>141</v>
      </c>
      <c r="S13" t="s">
        <v>144</v>
      </c>
      <c r="T13" t="s">
        <v>144</v>
      </c>
      <c r="U13" t="s">
        <v>367</v>
      </c>
    </row>
    <row r="14" spans="1:21" x14ac:dyDescent="0.3">
      <c r="A14" t="s">
        <v>190</v>
      </c>
      <c r="B14" s="1">
        <v>45747</v>
      </c>
      <c r="C14" t="s">
        <v>191</v>
      </c>
      <c r="D14" t="s">
        <v>87</v>
      </c>
      <c r="E14" t="s">
        <v>10</v>
      </c>
      <c r="F14" t="s">
        <v>10</v>
      </c>
      <c r="G14" t="s">
        <v>87</v>
      </c>
      <c r="H14" t="s">
        <v>85</v>
      </c>
      <c r="I14">
        <v>177</v>
      </c>
      <c r="J14">
        <v>152</v>
      </c>
      <c r="K14">
        <v>7</v>
      </c>
      <c r="L14">
        <v>8</v>
      </c>
      <c r="M14">
        <v>20</v>
      </c>
      <c r="N14">
        <v>18.399999999999999</v>
      </c>
      <c r="O14">
        <v>329</v>
      </c>
      <c r="P14">
        <v>25</v>
      </c>
      <c r="Q14" t="s">
        <v>366</v>
      </c>
      <c r="R14" t="s">
        <v>147</v>
      </c>
      <c r="S14" t="s">
        <v>150</v>
      </c>
      <c r="T14" t="s">
        <v>150</v>
      </c>
      <c r="U14" t="s">
        <v>367</v>
      </c>
    </row>
    <row r="15" spans="1:21" x14ac:dyDescent="0.3">
      <c r="A15" t="s">
        <v>192</v>
      </c>
      <c r="B15" s="1">
        <v>45748</v>
      </c>
      <c r="C15" t="s">
        <v>176</v>
      </c>
      <c r="D15" t="s">
        <v>98</v>
      </c>
      <c r="E15" t="s">
        <v>32</v>
      </c>
      <c r="F15" t="s">
        <v>32</v>
      </c>
      <c r="G15" t="s">
        <v>32</v>
      </c>
      <c r="H15" t="s">
        <v>36</v>
      </c>
      <c r="I15">
        <v>161</v>
      </c>
      <c r="J15">
        <v>162</v>
      </c>
      <c r="K15">
        <v>8</v>
      </c>
      <c r="L15">
        <v>6</v>
      </c>
      <c r="M15">
        <v>20</v>
      </c>
      <c r="N15">
        <v>19.2</v>
      </c>
      <c r="O15">
        <v>323</v>
      </c>
      <c r="P15">
        <v>1</v>
      </c>
      <c r="Q15" t="s">
        <v>368</v>
      </c>
      <c r="R15" t="s">
        <v>153</v>
      </c>
      <c r="S15" t="s">
        <v>156</v>
      </c>
      <c r="T15" t="s">
        <v>156</v>
      </c>
      <c r="U15" t="s">
        <v>367</v>
      </c>
    </row>
    <row r="16" spans="1:21" x14ac:dyDescent="0.3">
      <c r="A16" t="s">
        <v>193</v>
      </c>
      <c r="B16" s="1">
        <v>45749</v>
      </c>
      <c r="C16" t="s">
        <v>182</v>
      </c>
      <c r="D16" t="s">
        <v>44</v>
      </c>
      <c r="E16" t="s">
        <v>65</v>
      </c>
      <c r="F16" t="s">
        <v>65</v>
      </c>
      <c r="G16" t="s">
        <v>44</v>
      </c>
      <c r="H16" t="s">
        <v>42</v>
      </c>
      <c r="I16">
        <v>198</v>
      </c>
      <c r="J16">
        <v>187</v>
      </c>
      <c r="K16">
        <v>3</v>
      </c>
      <c r="L16">
        <v>8</v>
      </c>
      <c r="M16">
        <v>20</v>
      </c>
      <c r="N16">
        <v>20</v>
      </c>
      <c r="O16">
        <v>385</v>
      </c>
      <c r="P16">
        <v>11</v>
      </c>
      <c r="Q16" t="s">
        <v>366</v>
      </c>
      <c r="R16" t="s">
        <v>123</v>
      </c>
      <c r="S16" t="s">
        <v>126</v>
      </c>
      <c r="T16" t="s">
        <v>126</v>
      </c>
      <c r="U16" t="s">
        <v>367</v>
      </c>
    </row>
    <row r="17" spans="1:21" x14ac:dyDescent="0.3">
      <c r="A17" t="s">
        <v>194</v>
      </c>
      <c r="B17" s="1">
        <v>45750</v>
      </c>
      <c r="C17" t="s">
        <v>187</v>
      </c>
      <c r="D17" t="s">
        <v>10</v>
      </c>
      <c r="E17" t="s">
        <v>76</v>
      </c>
      <c r="F17" t="s">
        <v>76</v>
      </c>
      <c r="G17" t="s">
        <v>10</v>
      </c>
      <c r="H17" t="s">
        <v>8</v>
      </c>
      <c r="I17">
        <v>188</v>
      </c>
      <c r="J17">
        <v>186</v>
      </c>
      <c r="K17">
        <v>6</v>
      </c>
      <c r="L17">
        <v>8</v>
      </c>
      <c r="M17">
        <v>20</v>
      </c>
      <c r="N17">
        <v>20</v>
      </c>
      <c r="O17">
        <v>374</v>
      </c>
      <c r="P17">
        <v>2</v>
      </c>
      <c r="Q17" t="s">
        <v>366</v>
      </c>
      <c r="R17" t="s">
        <v>111</v>
      </c>
      <c r="S17" t="s">
        <v>114</v>
      </c>
      <c r="T17" t="s">
        <v>114</v>
      </c>
      <c r="U17" t="s">
        <v>367</v>
      </c>
    </row>
    <row r="18" spans="1:21" x14ac:dyDescent="0.3">
      <c r="A18" t="s">
        <v>195</v>
      </c>
      <c r="B18" s="1">
        <v>45751</v>
      </c>
      <c r="C18" t="s">
        <v>178</v>
      </c>
      <c r="D18" t="s">
        <v>54</v>
      </c>
      <c r="E18" t="s">
        <v>98</v>
      </c>
      <c r="F18" t="s">
        <v>98</v>
      </c>
      <c r="G18" t="s">
        <v>98</v>
      </c>
      <c r="H18" t="s">
        <v>96</v>
      </c>
      <c r="I18">
        <v>169</v>
      </c>
      <c r="J18">
        <v>170</v>
      </c>
      <c r="K18">
        <v>8</v>
      </c>
      <c r="L18">
        <v>4</v>
      </c>
      <c r="M18">
        <v>20</v>
      </c>
      <c r="N18">
        <v>19.100000000000001</v>
      </c>
      <c r="O18">
        <v>339</v>
      </c>
      <c r="P18">
        <v>1</v>
      </c>
      <c r="Q18" t="s">
        <v>368</v>
      </c>
      <c r="R18" t="s">
        <v>129</v>
      </c>
      <c r="S18" t="s">
        <v>132</v>
      </c>
      <c r="T18" t="s">
        <v>132</v>
      </c>
      <c r="U18" t="s">
        <v>367</v>
      </c>
    </row>
    <row r="19" spans="1:21" x14ac:dyDescent="0.3">
      <c r="A19" t="s">
        <v>196</v>
      </c>
      <c r="B19" s="1">
        <v>45752</v>
      </c>
      <c r="C19" t="s">
        <v>184</v>
      </c>
      <c r="D19" t="s">
        <v>65</v>
      </c>
      <c r="E19" t="s">
        <v>87</v>
      </c>
      <c r="F19" t="s">
        <v>65</v>
      </c>
      <c r="G19" t="s">
        <v>87</v>
      </c>
      <c r="H19" t="s">
        <v>88</v>
      </c>
      <c r="I19">
        <v>155</v>
      </c>
      <c r="J19">
        <v>156</v>
      </c>
      <c r="K19">
        <v>10</v>
      </c>
      <c r="L19">
        <v>6</v>
      </c>
      <c r="M19">
        <v>20</v>
      </c>
      <c r="N19">
        <v>19.399999999999999</v>
      </c>
      <c r="O19">
        <v>311</v>
      </c>
      <c r="P19">
        <v>1</v>
      </c>
      <c r="Q19" t="s">
        <v>368</v>
      </c>
      <c r="R19" t="s">
        <v>135</v>
      </c>
      <c r="S19" t="s">
        <v>138</v>
      </c>
      <c r="T19" t="s">
        <v>138</v>
      </c>
      <c r="U19" t="s">
        <v>367</v>
      </c>
    </row>
    <row r="20" spans="1:21" x14ac:dyDescent="0.3">
      <c r="A20" t="s">
        <v>197</v>
      </c>
      <c r="B20" s="1">
        <v>45753</v>
      </c>
      <c r="C20" t="s">
        <v>174</v>
      </c>
      <c r="D20" t="s">
        <v>32</v>
      </c>
      <c r="E20" t="s">
        <v>10</v>
      </c>
      <c r="F20" t="s">
        <v>10</v>
      </c>
      <c r="G20" t="s">
        <v>32</v>
      </c>
      <c r="H20" t="s">
        <v>30</v>
      </c>
      <c r="I20">
        <v>180</v>
      </c>
      <c r="J20">
        <v>178</v>
      </c>
      <c r="K20">
        <v>5</v>
      </c>
      <c r="L20">
        <v>8</v>
      </c>
      <c r="M20">
        <v>20</v>
      </c>
      <c r="N20">
        <v>20</v>
      </c>
      <c r="O20">
        <v>358</v>
      </c>
      <c r="P20">
        <v>2</v>
      </c>
      <c r="Q20" t="s">
        <v>366</v>
      </c>
      <c r="R20" t="s">
        <v>117</v>
      </c>
      <c r="S20" t="s">
        <v>120</v>
      </c>
      <c r="T20" t="s">
        <v>120</v>
      </c>
      <c r="U20" t="s">
        <v>367</v>
      </c>
    </row>
    <row r="21" spans="1:21" x14ac:dyDescent="0.3">
      <c r="A21" t="s">
        <v>198</v>
      </c>
      <c r="B21" s="1">
        <v>45754</v>
      </c>
      <c r="C21" t="s">
        <v>182</v>
      </c>
      <c r="D21" t="s">
        <v>44</v>
      </c>
      <c r="E21" t="s">
        <v>98</v>
      </c>
      <c r="F21" t="s">
        <v>44</v>
      </c>
      <c r="G21" t="s">
        <v>44</v>
      </c>
      <c r="H21" t="s">
        <v>47</v>
      </c>
      <c r="I21">
        <v>194</v>
      </c>
      <c r="J21">
        <v>188</v>
      </c>
      <c r="K21">
        <v>6</v>
      </c>
      <c r="L21">
        <v>7</v>
      </c>
      <c r="M21">
        <v>20</v>
      </c>
      <c r="N21">
        <v>20</v>
      </c>
      <c r="O21">
        <v>382</v>
      </c>
      <c r="P21">
        <v>6</v>
      </c>
      <c r="Q21" t="s">
        <v>366</v>
      </c>
      <c r="R21" t="s">
        <v>123</v>
      </c>
      <c r="S21" t="s">
        <v>126</v>
      </c>
      <c r="T21" t="s">
        <v>126</v>
      </c>
      <c r="U21" t="s">
        <v>367</v>
      </c>
    </row>
    <row r="22" spans="1:21" x14ac:dyDescent="0.3">
      <c r="A22" t="s">
        <v>199</v>
      </c>
      <c r="B22" s="1">
        <v>45755</v>
      </c>
      <c r="C22" t="s">
        <v>180</v>
      </c>
      <c r="D22" t="s">
        <v>76</v>
      </c>
      <c r="E22" t="s">
        <v>54</v>
      </c>
      <c r="F22" t="s">
        <v>54</v>
      </c>
      <c r="G22" t="s">
        <v>76</v>
      </c>
      <c r="H22" t="s">
        <v>78</v>
      </c>
      <c r="I22">
        <v>172</v>
      </c>
      <c r="J22">
        <v>171</v>
      </c>
      <c r="K22">
        <v>9</v>
      </c>
      <c r="L22">
        <v>10</v>
      </c>
      <c r="M22">
        <v>20</v>
      </c>
      <c r="N22">
        <v>20</v>
      </c>
      <c r="O22">
        <v>343</v>
      </c>
      <c r="P22">
        <v>1</v>
      </c>
      <c r="Q22" t="s">
        <v>366</v>
      </c>
      <c r="R22" t="s">
        <v>141</v>
      </c>
      <c r="S22" t="s">
        <v>144</v>
      </c>
      <c r="T22" t="s">
        <v>144</v>
      </c>
      <c r="U22" t="s">
        <v>367</v>
      </c>
    </row>
    <row r="23" spans="1:21" x14ac:dyDescent="0.3">
      <c r="A23" t="s">
        <v>200</v>
      </c>
      <c r="B23" s="1">
        <v>45756</v>
      </c>
      <c r="C23" t="s">
        <v>191</v>
      </c>
      <c r="D23" t="s">
        <v>87</v>
      </c>
      <c r="E23" t="s">
        <v>65</v>
      </c>
      <c r="F23" t="s">
        <v>65</v>
      </c>
      <c r="G23" t="s">
        <v>65</v>
      </c>
      <c r="H23" t="s">
        <v>69</v>
      </c>
      <c r="I23">
        <v>166</v>
      </c>
      <c r="J23">
        <v>167</v>
      </c>
      <c r="K23">
        <v>7</v>
      </c>
      <c r="L23">
        <v>5</v>
      </c>
      <c r="M23">
        <v>20</v>
      </c>
      <c r="N23">
        <v>19.100000000000001</v>
      </c>
      <c r="O23">
        <v>333</v>
      </c>
      <c r="P23">
        <v>1</v>
      </c>
      <c r="Q23" t="s">
        <v>368</v>
      </c>
      <c r="R23" t="s">
        <v>147</v>
      </c>
      <c r="S23" t="s">
        <v>150</v>
      </c>
      <c r="T23" t="s">
        <v>150</v>
      </c>
      <c r="U23" t="s">
        <v>367</v>
      </c>
    </row>
    <row r="24" spans="1:21" x14ac:dyDescent="0.3">
      <c r="A24" t="s">
        <v>201</v>
      </c>
      <c r="B24" s="1">
        <v>45757</v>
      </c>
      <c r="C24" t="s">
        <v>187</v>
      </c>
      <c r="D24" t="s">
        <v>10</v>
      </c>
      <c r="E24" t="s">
        <v>54</v>
      </c>
      <c r="F24" t="s">
        <v>54</v>
      </c>
      <c r="G24" t="s">
        <v>10</v>
      </c>
      <c r="H24" t="s">
        <v>15</v>
      </c>
      <c r="I24">
        <v>175</v>
      </c>
      <c r="J24">
        <v>170</v>
      </c>
      <c r="K24">
        <v>7</v>
      </c>
      <c r="L24">
        <v>9</v>
      </c>
      <c r="M24">
        <v>20</v>
      </c>
      <c r="N24">
        <v>20</v>
      </c>
      <c r="O24">
        <v>345</v>
      </c>
      <c r="P24">
        <v>5</v>
      </c>
      <c r="Q24" t="s">
        <v>366</v>
      </c>
      <c r="R24" t="s">
        <v>111</v>
      </c>
      <c r="S24" t="s">
        <v>114</v>
      </c>
      <c r="T24" t="s">
        <v>114</v>
      </c>
      <c r="U24" t="s">
        <v>367</v>
      </c>
    </row>
    <row r="25" spans="1:21" x14ac:dyDescent="0.3">
      <c r="A25" t="s">
        <v>202</v>
      </c>
      <c r="B25" s="1">
        <v>45758</v>
      </c>
      <c r="C25" t="s">
        <v>176</v>
      </c>
      <c r="D25" t="s">
        <v>98</v>
      </c>
      <c r="E25" t="s">
        <v>76</v>
      </c>
      <c r="F25" t="s">
        <v>76</v>
      </c>
      <c r="G25" t="s">
        <v>98</v>
      </c>
      <c r="H25" t="s">
        <v>99</v>
      </c>
      <c r="I25">
        <v>159</v>
      </c>
      <c r="J25">
        <v>158</v>
      </c>
      <c r="K25">
        <v>6</v>
      </c>
      <c r="L25">
        <v>7</v>
      </c>
      <c r="M25">
        <v>20</v>
      </c>
      <c r="N25">
        <v>20</v>
      </c>
      <c r="O25">
        <v>317</v>
      </c>
      <c r="P25">
        <v>1</v>
      </c>
      <c r="Q25" t="s">
        <v>366</v>
      </c>
      <c r="R25" t="s">
        <v>153</v>
      </c>
      <c r="S25" t="s">
        <v>156</v>
      </c>
      <c r="T25" t="s">
        <v>156</v>
      </c>
      <c r="U25" t="s">
        <v>367</v>
      </c>
    </row>
    <row r="26" spans="1:21" x14ac:dyDescent="0.3">
      <c r="A26" t="s">
        <v>203</v>
      </c>
      <c r="B26" s="1">
        <v>45759</v>
      </c>
      <c r="C26" t="s">
        <v>174</v>
      </c>
      <c r="D26" t="s">
        <v>32</v>
      </c>
      <c r="E26" t="s">
        <v>44</v>
      </c>
      <c r="F26" t="s">
        <v>44</v>
      </c>
      <c r="G26" t="s">
        <v>44</v>
      </c>
      <c r="H26" t="s">
        <v>42</v>
      </c>
      <c r="I26">
        <v>183</v>
      </c>
      <c r="J26">
        <v>184</v>
      </c>
      <c r="K26">
        <v>8</v>
      </c>
      <c r="L26">
        <v>6</v>
      </c>
      <c r="M26">
        <v>20</v>
      </c>
      <c r="N26">
        <v>19.399999999999999</v>
      </c>
      <c r="O26">
        <v>367</v>
      </c>
      <c r="P26">
        <v>1</v>
      </c>
      <c r="Q26" t="s">
        <v>368</v>
      </c>
      <c r="R26" t="s">
        <v>117</v>
      </c>
      <c r="S26" t="s">
        <v>120</v>
      </c>
      <c r="T26" t="s">
        <v>120</v>
      </c>
      <c r="U26" t="s">
        <v>367</v>
      </c>
    </row>
    <row r="27" spans="1:21" x14ac:dyDescent="0.3">
      <c r="A27" t="s">
        <v>204</v>
      </c>
      <c r="B27" s="1">
        <v>45760</v>
      </c>
      <c r="C27" t="s">
        <v>184</v>
      </c>
      <c r="D27" t="s">
        <v>65</v>
      </c>
      <c r="E27" t="s">
        <v>10</v>
      </c>
      <c r="F27" t="s">
        <v>65</v>
      </c>
      <c r="G27" t="s">
        <v>10</v>
      </c>
      <c r="H27" t="s">
        <v>19</v>
      </c>
      <c r="I27">
        <v>168</v>
      </c>
      <c r="J27">
        <v>171</v>
      </c>
      <c r="K27">
        <v>5</v>
      </c>
      <c r="L27">
        <v>4</v>
      </c>
      <c r="M27">
        <v>20</v>
      </c>
      <c r="N27">
        <v>19.100000000000001</v>
      </c>
      <c r="O27">
        <v>339</v>
      </c>
      <c r="P27">
        <v>3</v>
      </c>
      <c r="Q27" t="s">
        <v>368</v>
      </c>
      <c r="R27" t="s">
        <v>135</v>
      </c>
      <c r="S27" t="s">
        <v>138</v>
      </c>
      <c r="T27" t="s">
        <v>138</v>
      </c>
      <c r="U27" t="s">
        <v>367</v>
      </c>
    </row>
    <row r="28" spans="1:21" x14ac:dyDescent="0.3">
      <c r="A28" t="s">
        <v>205</v>
      </c>
      <c r="B28" s="1">
        <v>45761</v>
      </c>
      <c r="C28" t="s">
        <v>191</v>
      </c>
      <c r="D28" t="s">
        <v>87</v>
      </c>
      <c r="E28" t="s">
        <v>98</v>
      </c>
      <c r="F28" t="s">
        <v>87</v>
      </c>
      <c r="G28" t="s">
        <v>98</v>
      </c>
      <c r="H28" t="s">
        <v>103</v>
      </c>
      <c r="I28">
        <v>186</v>
      </c>
      <c r="J28">
        <v>187</v>
      </c>
      <c r="K28">
        <v>6</v>
      </c>
      <c r="L28">
        <v>5</v>
      </c>
      <c r="M28">
        <v>20</v>
      </c>
      <c r="N28">
        <v>19.2</v>
      </c>
      <c r="O28">
        <v>373</v>
      </c>
      <c r="P28">
        <v>1</v>
      </c>
      <c r="Q28" t="s">
        <v>368</v>
      </c>
      <c r="R28" t="s">
        <v>147</v>
      </c>
      <c r="S28" t="s">
        <v>150</v>
      </c>
      <c r="T28" t="s">
        <v>150</v>
      </c>
      <c r="U28" t="s">
        <v>367</v>
      </c>
    </row>
    <row r="29" spans="1:21" x14ac:dyDescent="0.3">
      <c r="A29" t="s">
        <v>206</v>
      </c>
      <c r="B29" s="1">
        <v>45762</v>
      </c>
      <c r="C29" t="s">
        <v>178</v>
      </c>
      <c r="D29" t="s">
        <v>54</v>
      </c>
      <c r="E29" t="s">
        <v>32</v>
      </c>
      <c r="F29" t="s">
        <v>32</v>
      </c>
      <c r="G29" t="s">
        <v>32</v>
      </c>
      <c r="H29" t="s">
        <v>39</v>
      </c>
      <c r="I29">
        <v>160</v>
      </c>
      <c r="J29">
        <v>161</v>
      </c>
      <c r="K29">
        <v>9</v>
      </c>
      <c r="L29">
        <v>7</v>
      </c>
      <c r="M29">
        <v>20</v>
      </c>
      <c r="N29">
        <v>19.5</v>
      </c>
      <c r="O29">
        <v>321</v>
      </c>
      <c r="P29">
        <v>1</v>
      </c>
      <c r="Q29" t="s">
        <v>368</v>
      </c>
      <c r="R29" t="s">
        <v>129</v>
      </c>
      <c r="S29" t="s">
        <v>132</v>
      </c>
      <c r="T29" t="s">
        <v>132</v>
      </c>
      <c r="U29" t="s">
        <v>367</v>
      </c>
    </row>
    <row r="30" spans="1:21" x14ac:dyDescent="0.3">
      <c r="A30" t="s">
        <v>207</v>
      </c>
      <c r="B30" s="1">
        <v>45763</v>
      </c>
      <c r="C30" t="s">
        <v>180</v>
      </c>
      <c r="D30" t="s">
        <v>76</v>
      </c>
      <c r="E30" t="s">
        <v>44</v>
      </c>
      <c r="F30" t="s">
        <v>44</v>
      </c>
      <c r="G30" t="s">
        <v>76</v>
      </c>
      <c r="H30" t="s">
        <v>74</v>
      </c>
      <c r="I30">
        <v>190</v>
      </c>
      <c r="J30">
        <v>185</v>
      </c>
      <c r="K30">
        <v>5</v>
      </c>
      <c r="L30">
        <v>8</v>
      </c>
      <c r="M30">
        <v>20</v>
      </c>
      <c r="N30">
        <v>20</v>
      </c>
      <c r="O30">
        <v>375</v>
      </c>
      <c r="P30">
        <v>5</v>
      </c>
      <c r="Q30" t="s">
        <v>366</v>
      </c>
      <c r="R30" t="s">
        <v>141</v>
      </c>
      <c r="S30" t="s">
        <v>144</v>
      </c>
      <c r="T30" t="s">
        <v>144</v>
      </c>
      <c r="U30" t="s">
        <v>367</v>
      </c>
    </row>
    <row r="31" spans="1:21" x14ac:dyDescent="0.3">
      <c r="A31" t="s">
        <v>208</v>
      </c>
      <c r="B31" s="1">
        <v>45764</v>
      </c>
      <c r="C31" t="s">
        <v>187</v>
      </c>
      <c r="D31" t="s">
        <v>10</v>
      </c>
      <c r="E31" t="s">
        <v>65</v>
      </c>
      <c r="F31" t="s">
        <v>10</v>
      </c>
      <c r="G31" t="s">
        <v>10</v>
      </c>
      <c r="H31" t="s">
        <v>24</v>
      </c>
      <c r="I31">
        <v>189</v>
      </c>
      <c r="J31">
        <v>173</v>
      </c>
      <c r="K31">
        <v>3</v>
      </c>
      <c r="L31">
        <v>9</v>
      </c>
      <c r="M31">
        <v>20</v>
      </c>
      <c r="N31">
        <v>20</v>
      </c>
      <c r="O31">
        <v>362</v>
      </c>
      <c r="P31">
        <v>16</v>
      </c>
      <c r="Q31" t="s">
        <v>366</v>
      </c>
      <c r="R31" t="s">
        <v>111</v>
      </c>
      <c r="S31" t="s">
        <v>114</v>
      </c>
      <c r="T31" t="s">
        <v>114</v>
      </c>
      <c r="U31" t="s">
        <v>367</v>
      </c>
    </row>
    <row r="32" spans="1:21" x14ac:dyDescent="0.3">
      <c r="A32" t="s">
        <v>209</v>
      </c>
      <c r="B32" s="1">
        <v>45765</v>
      </c>
      <c r="C32" t="s">
        <v>176</v>
      </c>
      <c r="D32" t="s">
        <v>98</v>
      </c>
      <c r="E32" t="s">
        <v>87</v>
      </c>
      <c r="F32" t="s">
        <v>98</v>
      </c>
      <c r="G32" t="s">
        <v>87</v>
      </c>
      <c r="H32" t="s">
        <v>91</v>
      </c>
      <c r="I32">
        <v>157</v>
      </c>
      <c r="J32">
        <v>158</v>
      </c>
      <c r="K32">
        <v>7</v>
      </c>
      <c r="L32">
        <v>6</v>
      </c>
      <c r="M32">
        <v>20</v>
      </c>
      <c r="N32">
        <v>19.3</v>
      </c>
      <c r="O32">
        <v>315</v>
      </c>
      <c r="P32">
        <v>1</v>
      </c>
      <c r="Q32" t="s">
        <v>368</v>
      </c>
      <c r="R32" t="s">
        <v>153</v>
      </c>
      <c r="S32" t="s">
        <v>156</v>
      </c>
      <c r="T32" t="s">
        <v>156</v>
      </c>
      <c r="U32" t="s">
        <v>367</v>
      </c>
    </row>
    <row r="33" spans="1:21" x14ac:dyDescent="0.3">
      <c r="A33" t="s">
        <v>210</v>
      </c>
      <c r="B33" s="1">
        <v>45766</v>
      </c>
      <c r="C33" t="s">
        <v>174</v>
      </c>
      <c r="D33" t="s">
        <v>32</v>
      </c>
      <c r="E33" t="s">
        <v>54</v>
      </c>
      <c r="F33" t="s">
        <v>54</v>
      </c>
      <c r="G33" t="s">
        <v>54</v>
      </c>
      <c r="H33" t="s">
        <v>52</v>
      </c>
      <c r="I33">
        <v>179</v>
      </c>
      <c r="J33">
        <v>180</v>
      </c>
      <c r="K33">
        <v>6</v>
      </c>
      <c r="L33">
        <v>5</v>
      </c>
      <c r="M33">
        <v>20</v>
      </c>
      <c r="N33">
        <v>19.2</v>
      </c>
      <c r="O33">
        <v>359</v>
      </c>
      <c r="P33">
        <v>1</v>
      </c>
      <c r="Q33" t="s">
        <v>368</v>
      </c>
      <c r="R33" t="s">
        <v>117</v>
      </c>
      <c r="S33" t="s">
        <v>120</v>
      </c>
      <c r="T33" t="s">
        <v>120</v>
      </c>
      <c r="U33" t="s">
        <v>367</v>
      </c>
    </row>
    <row r="34" spans="1:21" x14ac:dyDescent="0.3">
      <c r="A34" t="s">
        <v>211</v>
      </c>
      <c r="B34" s="1">
        <v>45767</v>
      </c>
      <c r="C34" t="s">
        <v>182</v>
      </c>
      <c r="D34" t="s">
        <v>44</v>
      </c>
      <c r="E34" t="s">
        <v>10</v>
      </c>
      <c r="F34" t="s">
        <v>10</v>
      </c>
      <c r="G34" t="s">
        <v>44</v>
      </c>
      <c r="H34" t="s">
        <v>50</v>
      </c>
      <c r="I34">
        <v>195</v>
      </c>
      <c r="J34">
        <v>190</v>
      </c>
      <c r="K34">
        <v>4</v>
      </c>
      <c r="L34">
        <v>8</v>
      </c>
      <c r="M34">
        <v>20</v>
      </c>
      <c r="N34">
        <v>20</v>
      </c>
      <c r="O34">
        <v>385</v>
      </c>
      <c r="P34">
        <v>5</v>
      </c>
      <c r="Q34" t="s">
        <v>366</v>
      </c>
      <c r="R34" t="s">
        <v>123</v>
      </c>
      <c r="S34" t="s">
        <v>126</v>
      </c>
      <c r="T34" t="s">
        <v>126</v>
      </c>
      <c r="U34" t="s">
        <v>367</v>
      </c>
    </row>
    <row r="35" spans="1:21" x14ac:dyDescent="0.3">
      <c r="A35" t="s">
        <v>212</v>
      </c>
      <c r="B35" s="1">
        <v>45768</v>
      </c>
      <c r="C35" t="s">
        <v>184</v>
      </c>
      <c r="D35" t="s">
        <v>65</v>
      </c>
      <c r="E35" t="s">
        <v>76</v>
      </c>
      <c r="F35" t="s">
        <v>76</v>
      </c>
      <c r="G35" t="s">
        <v>65</v>
      </c>
      <c r="H35" t="s">
        <v>71</v>
      </c>
      <c r="I35">
        <v>170</v>
      </c>
      <c r="J35">
        <v>169</v>
      </c>
      <c r="K35">
        <v>6</v>
      </c>
      <c r="L35">
        <v>7</v>
      </c>
      <c r="M35">
        <v>20</v>
      </c>
      <c r="N35">
        <v>20</v>
      </c>
      <c r="O35">
        <v>339</v>
      </c>
      <c r="P35">
        <v>1</v>
      </c>
      <c r="Q35" t="s">
        <v>366</v>
      </c>
      <c r="R35" t="s">
        <v>135</v>
      </c>
      <c r="S35" t="s">
        <v>138</v>
      </c>
      <c r="T35" t="s">
        <v>138</v>
      </c>
      <c r="U35" t="s">
        <v>367</v>
      </c>
    </row>
    <row r="36" spans="1:21" x14ac:dyDescent="0.3">
      <c r="A36" t="s">
        <v>213</v>
      </c>
      <c r="B36" s="1">
        <v>45769</v>
      </c>
      <c r="C36" t="s">
        <v>191</v>
      </c>
      <c r="D36" t="s">
        <v>87</v>
      </c>
      <c r="E36" t="s">
        <v>32</v>
      </c>
      <c r="F36" t="s">
        <v>87</v>
      </c>
      <c r="G36" t="s">
        <v>87</v>
      </c>
      <c r="H36" t="s">
        <v>93</v>
      </c>
      <c r="I36">
        <v>182</v>
      </c>
      <c r="J36">
        <v>175</v>
      </c>
      <c r="K36">
        <v>5</v>
      </c>
      <c r="L36">
        <v>9</v>
      </c>
      <c r="M36">
        <v>20</v>
      </c>
      <c r="N36">
        <v>20</v>
      </c>
      <c r="O36">
        <v>357</v>
      </c>
      <c r="P36">
        <v>7</v>
      </c>
      <c r="Q36" t="s">
        <v>366</v>
      </c>
      <c r="R36" t="s">
        <v>147</v>
      </c>
      <c r="S36" t="s">
        <v>150</v>
      </c>
      <c r="T36" t="s">
        <v>150</v>
      </c>
      <c r="U36" t="s">
        <v>367</v>
      </c>
    </row>
    <row r="37" spans="1:21" x14ac:dyDescent="0.3">
      <c r="A37" t="s">
        <v>214</v>
      </c>
      <c r="B37" s="1">
        <v>45770</v>
      </c>
      <c r="C37" t="s">
        <v>178</v>
      </c>
      <c r="D37" t="s">
        <v>54</v>
      </c>
      <c r="E37" t="s">
        <v>65</v>
      </c>
      <c r="F37" t="s">
        <v>65</v>
      </c>
      <c r="G37" t="s">
        <v>54</v>
      </c>
      <c r="H37" t="s">
        <v>55</v>
      </c>
      <c r="I37">
        <v>185</v>
      </c>
      <c r="J37">
        <v>178</v>
      </c>
      <c r="K37">
        <v>7</v>
      </c>
      <c r="L37">
        <v>9</v>
      </c>
      <c r="M37">
        <v>20</v>
      </c>
      <c r="N37">
        <v>20</v>
      </c>
      <c r="O37">
        <v>363</v>
      </c>
      <c r="P37">
        <v>7</v>
      </c>
      <c r="Q37" t="s">
        <v>366</v>
      </c>
      <c r="R37" t="s">
        <v>129</v>
      </c>
      <c r="S37" t="s">
        <v>132</v>
      </c>
      <c r="T37" t="s">
        <v>132</v>
      </c>
      <c r="U37" t="s">
        <v>367</v>
      </c>
    </row>
    <row r="38" spans="1:21" x14ac:dyDescent="0.3">
      <c r="A38" t="s">
        <v>215</v>
      </c>
      <c r="B38" s="1">
        <v>45771</v>
      </c>
      <c r="C38" t="s">
        <v>176</v>
      </c>
      <c r="D38" t="s">
        <v>98</v>
      </c>
      <c r="E38" t="s">
        <v>44</v>
      </c>
      <c r="F38" t="s">
        <v>98</v>
      </c>
      <c r="G38" t="s">
        <v>98</v>
      </c>
      <c r="H38" t="s">
        <v>101</v>
      </c>
      <c r="I38">
        <v>197</v>
      </c>
      <c r="J38">
        <v>196</v>
      </c>
      <c r="K38">
        <v>5</v>
      </c>
      <c r="L38">
        <v>8</v>
      </c>
      <c r="M38">
        <v>20</v>
      </c>
      <c r="N38">
        <v>20</v>
      </c>
      <c r="O38">
        <v>393</v>
      </c>
      <c r="P38">
        <v>1</v>
      </c>
      <c r="Q38" t="s">
        <v>366</v>
      </c>
      <c r="R38" t="s">
        <v>153</v>
      </c>
      <c r="S38" t="s">
        <v>156</v>
      </c>
      <c r="T38" t="s">
        <v>156</v>
      </c>
      <c r="U38" t="s">
        <v>367</v>
      </c>
    </row>
    <row r="39" spans="1:21" x14ac:dyDescent="0.3">
      <c r="A39" t="s">
        <v>216</v>
      </c>
      <c r="B39" s="1">
        <v>45772</v>
      </c>
      <c r="C39" t="s">
        <v>187</v>
      </c>
      <c r="D39" t="s">
        <v>10</v>
      </c>
      <c r="E39" t="s">
        <v>87</v>
      </c>
      <c r="F39" t="s">
        <v>87</v>
      </c>
      <c r="G39" t="s">
        <v>10</v>
      </c>
      <c r="H39" t="s">
        <v>27</v>
      </c>
      <c r="I39">
        <v>176</v>
      </c>
      <c r="J39">
        <v>172</v>
      </c>
      <c r="K39">
        <v>4</v>
      </c>
      <c r="L39">
        <v>8</v>
      </c>
      <c r="M39">
        <v>20</v>
      </c>
      <c r="N39">
        <v>20</v>
      </c>
      <c r="O39">
        <v>348</v>
      </c>
      <c r="P39">
        <v>4</v>
      </c>
      <c r="Q39" t="s">
        <v>366</v>
      </c>
      <c r="R39" t="s">
        <v>111</v>
      </c>
      <c r="S39" t="s">
        <v>114</v>
      </c>
      <c r="T39" t="s">
        <v>114</v>
      </c>
      <c r="U39" t="s">
        <v>367</v>
      </c>
    </row>
    <row r="40" spans="1:21" x14ac:dyDescent="0.3">
      <c r="A40" t="s">
        <v>217</v>
      </c>
      <c r="B40" s="1">
        <v>45773</v>
      </c>
      <c r="C40" t="s">
        <v>180</v>
      </c>
      <c r="D40" t="s">
        <v>76</v>
      </c>
      <c r="E40" t="s">
        <v>98</v>
      </c>
      <c r="F40" t="s">
        <v>98</v>
      </c>
      <c r="G40" t="s">
        <v>76</v>
      </c>
      <c r="H40" t="s">
        <v>80</v>
      </c>
      <c r="I40">
        <v>153</v>
      </c>
      <c r="J40">
        <v>150</v>
      </c>
      <c r="K40">
        <v>8</v>
      </c>
      <c r="L40">
        <v>10</v>
      </c>
      <c r="M40">
        <v>20</v>
      </c>
      <c r="N40">
        <v>19.3</v>
      </c>
      <c r="O40">
        <v>303</v>
      </c>
      <c r="P40">
        <v>3</v>
      </c>
      <c r="Q40" t="s">
        <v>366</v>
      </c>
      <c r="R40" t="s">
        <v>141</v>
      </c>
      <c r="S40" t="s">
        <v>144</v>
      </c>
      <c r="T40" t="s">
        <v>144</v>
      </c>
      <c r="U40" t="s">
        <v>367</v>
      </c>
    </row>
    <row r="41" spans="1:21" x14ac:dyDescent="0.3">
      <c r="A41" t="s">
        <v>218</v>
      </c>
      <c r="B41" s="1">
        <v>45774</v>
      </c>
      <c r="C41" t="s">
        <v>174</v>
      </c>
      <c r="D41" t="s">
        <v>32</v>
      </c>
      <c r="E41" t="s">
        <v>65</v>
      </c>
      <c r="F41" t="s">
        <v>65</v>
      </c>
      <c r="G41" t="s">
        <v>32</v>
      </c>
      <c r="H41" t="s">
        <v>33</v>
      </c>
      <c r="I41">
        <v>163</v>
      </c>
      <c r="J41">
        <v>158</v>
      </c>
      <c r="K41">
        <v>7</v>
      </c>
      <c r="L41">
        <v>8</v>
      </c>
      <c r="M41">
        <v>20</v>
      </c>
      <c r="N41">
        <v>20</v>
      </c>
      <c r="O41">
        <v>321</v>
      </c>
      <c r="P41">
        <v>5</v>
      </c>
      <c r="Q41" t="s">
        <v>366</v>
      </c>
      <c r="R41" t="s">
        <v>117</v>
      </c>
      <c r="S41" t="s">
        <v>120</v>
      </c>
      <c r="T41" t="s">
        <v>120</v>
      </c>
      <c r="U41" t="s">
        <v>367</v>
      </c>
    </row>
    <row r="42" spans="1:21" x14ac:dyDescent="0.3">
      <c r="A42" t="s">
        <v>219</v>
      </c>
      <c r="B42" s="1">
        <v>45775</v>
      </c>
      <c r="C42" t="s">
        <v>182</v>
      </c>
      <c r="D42" t="s">
        <v>44</v>
      </c>
      <c r="E42" t="s">
        <v>54</v>
      </c>
      <c r="F42" t="s">
        <v>54</v>
      </c>
      <c r="G42" t="s">
        <v>44</v>
      </c>
      <c r="H42" t="s">
        <v>42</v>
      </c>
      <c r="I42">
        <v>200</v>
      </c>
      <c r="J42">
        <v>195</v>
      </c>
      <c r="K42">
        <v>5</v>
      </c>
      <c r="L42">
        <v>8</v>
      </c>
      <c r="M42">
        <v>20</v>
      </c>
      <c r="N42">
        <v>20</v>
      </c>
      <c r="O42">
        <v>395</v>
      </c>
      <c r="P42">
        <v>5</v>
      </c>
      <c r="Q42" t="s">
        <v>366</v>
      </c>
      <c r="R42" t="s">
        <v>123</v>
      </c>
      <c r="S42" t="s">
        <v>126</v>
      </c>
      <c r="T42" t="s">
        <v>126</v>
      </c>
      <c r="U42" t="s">
        <v>367</v>
      </c>
    </row>
    <row r="43" spans="1:21" x14ac:dyDescent="0.3">
      <c r="A43" t="s">
        <v>220</v>
      </c>
      <c r="B43" s="1">
        <v>45776</v>
      </c>
      <c r="C43" t="s">
        <v>191</v>
      </c>
      <c r="D43" t="s">
        <v>87</v>
      </c>
      <c r="E43" t="s">
        <v>76</v>
      </c>
      <c r="F43" t="s">
        <v>87</v>
      </c>
      <c r="G43" t="s">
        <v>76</v>
      </c>
      <c r="H43" t="s">
        <v>83</v>
      </c>
      <c r="I43">
        <v>180</v>
      </c>
      <c r="J43">
        <v>181</v>
      </c>
      <c r="K43">
        <v>7</v>
      </c>
      <c r="L43">
        <v>4</v>
      </c>
      <c r="M43">
        <v>20</v>
      </c>
      <c r="N43">
        <v>19.399999999999999</v>
      </c>
      <c r="O43">
        <v>361</v>
      </c>
      <c r="P43">
        <v>1</v>
      </c>
      <c r="Q43" t="s">
        <v>368</v>
      </c>
      <c r="R43" t="s">
        <v>147</v>
      </c>
      <c r="S43" t="s">
        <v>150</v>
      </c>
      <c r="T43" t="s">
        <v>150</v>
      </c>
      <c r="U43" t="s">
        <v>367</v>
      </c>
    </row>
    <row r="44" spans="1:21" x14ac:dyDescent="0.3">
      <c r="A44" t="s">
        <v>221</v>
      </c>
      <c r="B44" s="1">
        <v>45777</v>
      </c>
      <c r="C44" t="s">
        <v>176</v>
      </c>
      <c r="D44" t="s">
        <v>98</v>
      </c>
      <c r="E44" t="s">
        <v>10</v>
      </c>
      <c r="F44" t="s">
        <v>10</v>
      </c>
      <c r="G44" t="s">
        <v>98</v>
      </c>
      <c r="H44" t="s">
        <v>96</v>
      </c>
      <c r="I44">
        <v>174</v>
      </c>
      <c r="J44">
        <v>173</v>
      </c>
      <c r="K44">
        <v>6</v>
      </c>
      <c r="L44">
        <v>7</v>
      </c>
      <c r="M44">
        <v>20</v>
      </c>
      <c r="N44">
        <v>20</v>
      </c>
      <c r="O44">
        <v>347</v>
      </c>
      <c r="P44">
        <v>1</v>
      </c>
      <c r="Q44" t="s">
        <v>366</v>
      </c>
      <c r="R44" t="s">
        <v>153</v>
      </c>
      <c r="S44" t="s">
        <v>156</v>
      </c>
      <c r="T44" t="s">
        <v>156</v>
      </c>
      <c r="U44" t="s">
        <v>367</v>
      </c>
    </row>
    <row r="45" spans="1:21" x14ac:dyDescent="0.3">
      <c r="A45" t="s">
        <v>222</v>
      </c>
      <c r="B45" s="1">
        <v>45778</v>
      </c>
      <c r="C45" t="s">
        <v>184</v>
      </c>
      <c r="D45" t="s">
        <v>65</v>
      </c>
      <c r="E45" t="s">
        <v>32</v>
      </c>
      <c r="F45" t="s">
        <v>32</v>
      </c>
      <c r="G45" t="s">
        <v>65</v>
      </c>
      <c r="H45" t="s">
        <v>63</v>
      </c>
      <c r="I45">
        <v>187</v>
      </c>
      <c r="J45">
        <v>175</v>
      </c>
      <c r="K45">
        <v>4</v>
      </c>
      <c r="L45">
        <v>9</v>
      </c>
      <c r="M45">
        <v>20</v>
      </c>
      <c r="N45">
        <v>20</v>
      </c>
      <c r="O45">
        <v>362</v>
      </c>
      <c r="P45">
        <v>12</v>
      </c>
      <c r="Q45" t="s">
        <v>366</v>
      </c>
      <c r="R45" t="s">
        <v>135</v>
      </c>
      <c r="S45" t="s">
        <v>138</v>
      </c>
      <c r="T45" t="s">
        <v>138</v>
      </c>
      <c r="U45" t="s">
        <v>367</v>
      </c>
    </row>
    <row r="46" spans="1:21" x14ac:dyDescent="0.3">
      <c r="A46" t="s">
        <v>223</v>
      </c>
      <c r="B46" s="1">
        <v>45779</v>
      </c>
      <c r="C46" t="s">
        <v>187</v>
      </c>
      <c r="D46" t="s">
        <v>10</v>
      </c>
      <c r="E46" t="s">
        <v>44</v>
      </c>
      <c r="F46" t="s">
        <v>44</v>
      </c>
      <c r="G46" t="s">
        <v>44</v>
      </c>
      <c r="H46" t="s">
        <v>45</v>
      </c>
      <c r="I46">
        <v>162</v>
      </c>
      <c r="J46">
        <v>165</v>
      </c>
      <c r="K46">
        <v>9</v>
      </c>
      <c r="L46">
        <v>5</v>
      </c>
      <c r="M46">
        <v>20</v>
      </c>
      <c r="N46">
        <v>19.2</v>
      </c>
      <c r="O46">
        <v>327</v>
      </c>
      <c r="P46">
        <v>3</v>
      </c>
      <c r="Q46" t="s">
        <v>368</v>
      </c>
      <c r="R46" t="s">
        <v>111</v>
      </c>
      <c r="S46" t="s">
        <v>114</v>
      </c>
      <c r="T46" t="s">
        <v>114</v>
      </c>
      <c r="U46" t="s">
        <v>367</v>
      </c>
    </row>
    <row r="47" spans="1:21" x14ac:dyDescent="0.3">
      <c r="A47" t="s">
        <v>224</v>
      </c>
      <c r="B47" s="1">
        <v>45780</v>
      </c>
      <c r="C47" t="s">
        <v>178</v>
      </c>
      <c r="D47" t="s">
        <v>54</v>
      </c>
      <c r="E47" t="s">
        <v>76</v>
      </c>
      <c r="F47" t="s">
        <v>76</v>
      </c>
      <c r="G47" t="s">
        <v>54</v>
      </c>
      <c r="H47" t="s">
        <v>52</v>
      </c>
      <c r="I47">
        <v>196</v>
      </c>
      <c r="J47">
        <v>188</v>
      </c>
      <c r="K47">
        <v>3</v>
      </c>
      <c r="L47">
        <v>8</v>
      </c>
      <c r="M47">
        <v>20</v>
      </c>
      <c r="N47">
        <v>20</v>
      </c>
      <c r="O47">
        <v>384</v>
      </c>
      <c r="P47">
        <v>8</v>
      </c>
      <c r="Q47" t="s">
        <v>366</v>
      </c>
      <c r="R47" t="s">
        <v>129</v>
      </c>
      <c r="S47" t="s">
        <v>132</v>
      </c>
      <c r="T47" t="s">
        <v>132</v>
      </c>
      <c r="U47" t="s">
        <v>367</v>
      </c>
    </row>
    <row r="48" spans="1:21" x14ac:dyDescent="0.3">
      <c r="A48" t="s">
        <v>225</v>
      </c>
      <c r="B48" s="1">
        <v>45781</v>
      </c>
      <c r="C48" t="s">
        <v>176</v>
      </c>
      <c r="D48" t="s">
        <v>98</v>
      </c>
      <c r="E48" t="s">
        <v>65</v>
      </c>
      <c r="F48" t="s">
        <v>65</v>
      </c>
      <c r="G48" t="s">
        <v>98</v>
      </c>
      <c r="H48" t="s">
        <v>103</v>
      </c>
      <c r="I48">
        <v>184</v>
      </c>
      <c r="J48">
        <v>183</v>
      </c>
      <c r="K48">
        <v>7</v>
      </c>
      <c r="L48">
        <v>9</v>
      </c>
      <c r="M48">
        <v>20</v>
      </c>
      <c r="N48">
        <v>20</v>
      </c>
      <c r="O48">
        <v>367</v>
      </c>
      <c r="P48">
        <v>1</v>
      </c>
      <c r="Q48" t="s">
        <v>366</v>
      </c>
      <c r="R48" t="s">
        <v>153</v>
      </c>
      <c r="S48" t="s">
        <v>156</v>
      </c>
      <c r="T48" t="s">
        <v>156</v>
      </c>
      <c r="U48" t="s">
        <v>367</v>
      </c>
    </row>
    <row r="49" spans="1:21" x14ac:dyDescent="0.3">
      <c r="A49" t="s">
        <v>226</v>
      </c>
      <c r="B49" s="1">
        <v>45782</v>
      </c>
      <c r="C49" t="s">
        <v>174</v>
      </c>
      <c r="D49" t="s">
        <v>32</v>
      </c>
      <c r="E49" t="s">
        <v>76</v>
      </c>
      <c r="F49" t="s">
        <v>76</v>
      </c>
      <c r="G49" t="s">
        <v>32</v>
      </c>
      <c r="H49" t="s">
        <v>30</v>
      </c>
      <c r="I49">
        <v>192</v>
      </c>
      <c r="J49">
        <v>174</v>
      </c>
      <c r="K49">
        <v>4</v>
      </c>
      <c r="L49">
        <v>8</v>
      </c>
      <c r="M49">
        <v>20</v>
      </c>
      <c r="N49">
        <v>20</v>
      </c>
      <c r="O49">
        <v>366</v>
      </c>
      <c r="P49">
        <v>18</v>
      </c>
      <c r="Q49" t="s">
        <v>366</v>
      </c>
      <c r="R49" t="s">
        <v>117</v>
      </c>
      <c r="S49" t="s">
        <v>120</v>
      </c>
      <c r="T49" t="s">
        <v>120</v>
      </c>
      <c r="U49" t="s">
        <v>367</v>
      </c>
    </row>
    <row r="50" spans="1:21" x14ac:dyDescent="0.3">
      <c r="A50" t="s">
        <v>227</v>
      </c>
      <c r="B50" s="1">
        <v>45783</v>
      </c>
      <c r="C50" t="s">
        <v>191</v>
      </c>
      <c r="D50" t="s">
        <v>87</v>
      </c>
      <c r="E50" t="s">
        <v>54</v>
      </c>
      <c r="F50" t="s">
        <v>87</v>
      </c>
      <c r="G50" t="s">
        <v>54</v>
      </c>
      <c r="H50" t="s">
        <v>55</v>
      </c>
      <c r="I50">
        <v>208</v>
      </c>
      <c r="J50">
        <v>198</v>
      </c>
      <c r="K50">
        <v>6</v>
      </c>
      <c r="L50">
        <v>7</v>
      </c>
      <c r="M50">
        <v>20</v>
      </c>
      <c r="N50">
        <v>20</v>
      </c>
      <c r="O50">
        <v>406</v>
      </c>
      <c r="P50">
        <v>10</v>
      </c>
      <c r="Q50" t="s">
        <v>366</v>
      </c>
      <c r="R50" t="s">
        <v>147</v>
      </c>
      <c r="S50" t="s">
        <v>150</v>
      </c>
      <c r="T50" t="s">
        <v>150</v>
      </c>
      <c r="U50" t="s">
        <v>367</v>
      </c>
    </row>
    <row r="51" spans="1:21" x14ac:dyDescent="0.3">
      <c r="A51" t="s">
        <v>228</v>
      </c>
      <c r="B51" s="1">
        <v>45784</v>
      </c>
      <c r="C51" t="s">
        <v>182</v>
      </c>
      <c r="D51" t="s">
        <v>44</v>
      </c>
      <c r="E51" t="s">
        <v>10</v>
      </c>
      <c r="F51" t="s">
        <v>10</v>
      </c>
      <c r="G51" t="s">
        <v>76</v>
      </c>
      <c r="H51" t="s">
        <v>74</v>
      </c>
      <c r="I51">
        <v>193</v>
      </c>
      <c r="J51">
        <v>165</v>
      </c>
      <c r="K51">
        <v>5</v>
      </c>
      <c r="L51">
        <v>10</v>
      </c>
      <c r="M51">
        <v>20</v>
      </c>
      <c r="N51">
        <v>17.2</v>
      </c>
      <c r="O51">
        <v>358</v>
      </c>
      <c r="P51">
        <v>28</v>
      </c>
      <c r="Q51" t="s">
        <v>366</v>
      </c>
      <c r="R51" t="s">
        <v>123</v>
      </c>
      <c r="S51" t="s">
        <v>126</v>
      </c>
      <c r="T51" t="s">
        <v>126</v>
      </c>
      <c r="U51" t="s">
        <v>367</v>
      </c>
    </row>
    <row r="52" spans="1:21" x14ac:dyDescent="0.3">
      <c r="A52" t="s">
        <v>229</v>
      </c>
      <c r="B52" s="1">
        <v>45785</v>
      </c>
      <c r="C52" t="s">
        <v>184</v>
      </c>
      <c r="D52" t="s">
        <v>65</v>
      </c>
      <c r="E52" t="s">
        <v>44</v>
      </c>
      <c r="F52" t="s">
        <v>44</v>
      </c>
      <c r="G52" t="s">
        <v>76</v>
      </c>
      <c r="H52" t="s">
        <v>83</v>
      </c>
      <c r="I52">
        <v>181</v>
      </c>
      <c r="J52">
        <v>185</v>
      </c>
      <c r="K52">
        <v>5</v>
      </c>
      <c r="L52">
        <v>4</v>
      </c>
      <c r="M52">
        <v>20</v>
      </c>
      <c r="N52">
        <v>19.3</v>
      </c>
      <c r="O52">
        <v>366</v>
      </c>
      <c r="P52">
        <v>4</v>
      </c>
      <c r="Q52" t="s">
        <v>368</v>
      </c>
      <c r="R52" t="s">
        <v>135</v>
      </c>
      <c r="S52" t="s">
        <v>138</v>
      </c>
      <c r="T52" t="s">
        <v>138</v>
      </c>
      <c r="U52" t="s">
        <v>367</v>
      </c>
    </row>
    <row r="53" spans="1:21" x14ac:dyDescent="0.3">
      <c r="A53" t="s">
        <v>230</v>
      </c>
      <c r="B53" s="1">
        <v>45786</v>
      </c>
      <c r="C53" t="s">
        <v>180</v>
      </c>
      <c r="D53" t="s">
        <v>76</v>
      </c>
      <c r="E53" t="s">
        <v>32</v>
      </c>
      <c r="F53" t="s">
        <v>65</v>
      </c>
      <c r="G53" t="s">
        <v>54</v>
      </c>
      <c r="H53" t="s">
        <v>58</v>
      </c>
      <c r="I53">
        <v>164</v>
      </c>
      <c r="J53">
        <v>165</v>
      </c>
      <c r="K53">
        <v>8</v>
      </c>
      <c r="L53">
        <v>3</v>
      </c>
      <c r="M53">
        <v>20</v>
      </c>
      <c r="N53">
        <v>18.399999999999999</v>
      </c>
      <c r="O53">
        <v>329</v>
      </c>
      <c r="P53">
        <v>1</v>
      </c>
      <c r="Q53" t="s">
        <v>368</v>
      </c>
      <c r="R53" t="s">
        <v>141</v>
      </c>
      <c r="S53" t="s">
        <v>144</v>
      </c>
      <c r="T53" t="s">
        <v>144</v>
      </c>
      <c r="U53" t="s">
        <v>367</v>
      </c>
    </row>
    <row r="54" spans="1:21" x14ac:dyDescent="0.3">
      <c r="A54" t="s">
        <v>231</v>
      </c>
      <c r="B54" s="1">
        <v>45787</v>
      </c>
      <c r="C54" t="s">
        <v>187</v>
      </c>
      <c r="D54" t="s">
        <v>10</v>
      </c>
      <c r="E54" t="s">
        <v>32</v>
      </c>
      <c r="F54" t="s">
        <v>87</v>
      </c>
      <c r="G54" t="s">
        <v>32</v>
      </c>
      <c r="H54" t="s">
        <v>33</v>
      </c>
      <c r="I54">
        <v>178</v>
      </c>
      <c r="J54">
        <v>169</v>
      </c>
      <c r="K54">
        <v>6</v>
      </c>
      <c r="L54">
        <v>9</v>
      </c>
      <c r="M54">
        <v>20</v>
      </c>
      <c r="N54">
        <v>20</v>
      </c>
      <c r="O54">
        <v>347</v>
      </c>
      <c r="P54">
        <v>9</v>
      </c>
      <c r="Q54" t="s">
        <v>366</v>
      </c>
      <c r="R54" t="s">
        <v>111</v>
      </c>
      <c r="S54" t="s">
        <v>114</v>
      </c>
      <c r="T54" t="s">
        <v>114</v>
      </c>
      <c r="U54" t="s">
        <v>367</v>
      </c>
    </row>
    <row r="55" spans="1:21" x14ac:dyDescent="0.3">
      <c r="A55" t="s">
        <v>232</v>
      </c>
      <c r="B55" s="1">
        <v>45788</v>
      </c>
      <c r="C55" t="s">
        <v>178</v>
      </c>
      <c r="D55" t="s">
        <v>54</v>
      </c>
      <c r="E55" t="s">
        <v>98</v>
      </c>
      <c r="F55" t="s">
        <v>10</v>
      </c>
      <c r="G55" t="s">
        <v>98</v>
      </c>
      <c r="H55" t="s">
        <v>101</v>
      </c>
      <c r="I55">
        <v>154</v>
      </c>
      <c r="J55">
        <v>155</v>
      </c>
      <c r="K55">
        <v>10</v>
      </c>
      <c r="L55">
        <v>3</v>
      </c>
      <c r="M55">
        <v>19.5</v>
      </c>
      <c r="N55">
        <v>17</v>
      </c>
      <c r="O55">
        <v>309</v>
      </c>
      <c r="P55">
        <v>1</v>
      </c>
      <c r="Q55" t="s">
        <v>368</v>
      </c>
      <c r="R55" t="s">
        <v>129</v>
      </c>
      <c r="S55" t="s">
        <v>132</v>
      </c>
      <c r="T55" t="s">
        <v>132</v>
      </c>
      <c r="U55" t="s">
        <v>367</v>
      </c>
    </row>
    <row r="56" spans="1:21" x14ac:dyDescent="0.3">
      <c r="A56" t="s">
        <v>233</v>
      </c>
      <c r="B56" s="1">
        <v>45789</v>
      </c>
      <c r="C56" t="s">
        <v>176</v>
      </c>
      <c r="D56" t="s">
        <v>98</v>
      </c>
      <c r="E56" t="s">
        <v>44</v>
      </c>
      <c r="F56" t="s">
        <v>44</v>
      </c>
      <c r="G56" t="s">
        <v>54</v>
      </c>
      <c r="H56" t="s">
        <v>60</v>
      </c>
      <c r="I56">
        <v>171</v>
      </c>
      <c r="J56">
        <v>156</v>
      </c>
      <c r="K56">
        <v>5</v>
      </c>
      <c r="L56">
        <v>9</v>
      </c>
      <c r="M56">
        <v>20</v>
      </c>
      <c r="N56">
        <v>18.3</v>
      </c>
      <c r="O56">
        <v>327</v>
      </c>
      <c r="P56">
        <v>15</v>
      </c>
      <c r="Q56" t="s">
        <v>366</v>
      </c>
      <c r="R56" t="s">
        <v>153</v>
      </c>
      <c r="S56" t="s">
        <v>156</v>
      </c>
      <c r="T56" t="s">
        <v>156</v>
      </c>
      <c r="U56" t="s">
        <v>367</v>
      </c>
    </row>
    <row r="57" spans="1:21" x14ac:dyDescent="0.3">
      <c r="A57" t="s">
        <v>234</v>
      </c>
      <c r="B57" s="1">
        <v>45790</v>
      </c>
      <c r="C57" t="s">
        <v>191</v>
      </c>
      <c r="D57" t="s">
        <v>87</v>
      </c>
      <c r="E57" t="s">
        <v>65</v>
      </c>
      <c r="F57" t="s">
        <v>65</v>
      </c>
      <c r="G57" t="s">
        <v>65</v>
      </c>
      <c r="H57" t="s">
        <v>66</v>
      </c>
      <c r="I57">
        <v>149</v>
      </c>
      <c r="J57">
        <v>150</v>
      </c>
      <c r="K57">
        <v>9</v>
      </c>
      <c r="L57">
        <v>4</v>
      </c>
      <c r="M57">
        <v>20</v>
      </c>
      <c r="N57">
        <v>18.100000000000001</v>
      </c>
      <c r="O57">
        <v>299</v>
      </c>
      <c r="P57">
        <v>1</v>
      </c>
      <c r="Q57" t="s">
        <v>368</v>
      </c>
      <c r="R57" t="s">
        <v>147</v>
      </c>
      <c r="S57" t="s">
        <v>150</v>
      </c>
      <c r="T57" t="s">
        <v>150</v>
      </c>
      <c r="U57" t="s">
        <v>367</v>
      </c>
    </row>
    <row r="58" spans="1:21" x14ac:dyDescent="0.3">
      <c r="A58" t="s">
        <v>235</v>
      </c>
      <c r="B58" s="1">
        <v>45791</v>
      </c>
      <c r="C58" t="s">
        <v>182</v>
      </c>
      <c r="D58" t="s">
        <v>44</v>
      </c>
      <c r="E58" t="s">
        <v>76</v>
      </c>
      <c r="F58" t="s">
        <v>10</v>
      </c>
      <c r="G58" t="s">
        <v>87</v>
      </c>
      <c r="H58" t="s">
        <v>85</v>
      </c>
      <c r="I58">
        <v>177</v>
      </c>
      <c r="J58">
        <v>152</v>
      </c>
      <c r="K58">
        <v>7</v>
      </c>
      <c r="L58">
        <v>8</v>
      </c>
      <c r="M58">
        <v>20</v>
      </c>
      <c r="N58">
        <v>18.399999999999999</v>
      </c>
      <c r="O58">
        <v>329</v>
      </c>
      <c r="P58">
        <v>25</v>
      </c>
      <c r="Q58" t="s">
        <v>366</v>
      </c>
      <c r="R58" t="s">
        <v>123</v>
      </c>
      <c r="S58" t="s">
        <v>126</v>
      </c>
      <c r="T58" t="s">
        <v>126</v>
      </c>
      <c r="U58" t="s">
        <v>367</v>
      </c>
    </row>
    <row r="59" spans="1:21" x14ac:dyDescent="0.3">
      <c r="A59" t="s">
        <v>236</v>
      </c>
      <c r="B59" s="1">
        <v>45792</v>
      </c>
      <c r="C59" t="s">
        <v>187</v>
      </c>
      <c r="D59" t="s">
        <v>10</v>
      </c>
      <c r="E59" t="s">
        <v>54</v>
      </c>
      <c r="F59" t="s">
        <v>32</v>
      </c>
      <c r="G59" t="s">
        <v>32</v>
      </c>
      <c r="H59" t="s">
        <v>36</v>
      </c>
      <c r="I59">
        <v>161</v>
      </c>
      <c r="J59">
        <v>162</v>
      </c>
      <c r="K59">
        <v>8</v>
      </c>
      <c r="L59">
        <v>6</v>
      </c>
      <c r="M59">
        <v>20</v>
      </c>
      <c r="N59">
        <v>19.2</v>
      </c>
      <c r="O59">
        <v>323</v>
      </c>
      <c r="P59">
        <v>1</v>
      </c>
      <c r="Q59" t="s">
        <v>368</v>
      </c>
      <c r="R59" t="s">
        <v>111</v>
      </c>
      <c r="S59" t="s">
        <v>114</v>
      </c>
      <c r="T59" t="s">
        <v>114</v>
      </c>
      <c r="U59" t="s">
        <v>367</v>
      </c>
    </row>
    <row r="60" spans="1:21" x14ac:dyDescent="0.3">
      <c r="A60" t="s">
        <v>237</v>
      </c>
      <c r="B60" s="1">
        <v>45793</v>
      </c>
      <c r="C60" t="s">
        <v>174</v>
      </c>
      <c r="D60" t="s">
        <v>32</v>
      </c>
      <c r="E60" t="s">
        <v>98</v>
      </c>
      <c r="F60" t="s">
        <v>65</v>
      </c>
      <c r="G60" t="s">
        <v>44</v>
      </c>
      <c r="H60" t="s">
        <v>42</v>
      </c>
      <c r="I60">
        <v>198</v>
      </c>
      <c r="J60">
        <v>187</v>
      </c>
      <c r="K60">
        <v>3</v>
      </c>
      <c r="L60">
        <v>8</v>
      </c>
      <c r="M60">
        <v>20</v>
      </c>
      <c r="N60">
        <v>20</v>
      </c>
      <c r="O60">
        <v>385</v>
      </c>
      <c r="P60">
        <v>11</v>
      </c>
      <c r="Q60" t="s">
        <v>366</v>
      </c>
      <c r="R60" t="s">
        <v>117</v>
      </c>
      <c r="S60" t="s">
        <v>120</v>
      </c>
      <c r="T60" t="s">
        <v>120</v>
      </c>
      <c r="U60" t="s">
        <v>367</v>
      </c>
    </row>
    <row r="61" spans="1:21" x14ac:dyDescent="0.3">
      <c r="A61" t="s">
        <v>238</v>
      </c>
      <c r="B61" s="1">
        <v>45794</v>
      </c>
      <c r="C61" t="s">
        <v>184</v>
      </c>
      <c r="D61" t="s">
        <v>65</v>
      </c>
      <c r="E61" t="s">
        <v>76</v>
      </c>
      <c r="F61" t="s">
        <v>76</v>
      </c>
      <c r="G61" t="s">
        <v>10</v>
      </c>
      <c r="H61" t="s">
        <v>8</v>
      </c>
      <c r="I61">
        <v>188</v>
      </c>
      <c r="J61">
        <v>186</v>
      </c>
      <c r="K61">
        <v>6</v>
      </c>
      <c r="L61">
        <v>8</v>
      </c>
      <c r="M61">
        <v>20</v>
      </c>
      <c r="N61">
        <v>20</v>
      </c>
      <c r="O61">
        <v>374</v>
      </c>
      <c r="P61">
        <v>2</v>
      </c>
      <c r="Q61" t="s">
        <v>366</v>
      </c>
      <c r="R61" t="s">
        <v>135</v>
      </c>
      <c r="S61" t="s">
        <v>138</v>
      </c>
      <c r="T61" t="s">
        <v>138</v>
      </c>
      <c r="U61" t="s">
        <v>367</v>
      </c>
    </row>
    <row r="62" spans="1:21" x14ac:dyDescent="0.3">
      <c r="A62" t="s">
        <v>239</v>
      </c>
      <c r="B62" s="1">
        <v>45795</v>
      </c>
      <c r="C62" t="s">
        <v>178</v>
      </c>
      <c r="D62" t="s">
        <v>54</v>
      </c>
      <c r="E62" t="s">
        <v>87</v>
      </c>
      <c r="F62" t="s">
        <v>98</v>
      </c>
      <c r="G62" t="s">
        <v>98</v>
      </c>
      <c r="H62" t="s">
        <v>96</v>
      </c>
      <c r="I62">
        <v>169</v>
      </c>
      <c r="J62">
        <v>170</v>
      </c>
      <c r="K62">
        <v>8</v>
      </c>
      <c r="L62">
        <v>4</v>
      </c>
      <c r="M62">
        <v>20</v>
      </c>
      <c r="N62">
        <v>19.100000000000001</v>
      </c>
      <c r="O62">
        <v>339</v>
      </c>
      <c r="P62">
        <v>1</v>
      </c>
      <c r="Q62" t="s">
        <v>368</v>
      </c>
      <c r="R62" t="s">
        <v>129</v>
      </c>
      <c r="S62" t="s">
        <v>132</v>
      </c>
      <c r="T62" t="s">
        <v>132</v>
      </c>
      <c r="U62" t="s">
        <v>367</v>
      </c>
    </row>
    <row r="63" spans="1:21" x14ac:dyDescent="0.3">
      <c r="A63" t="s">
        <v>240</v>
      </c>
      <c r="B63" s="1">
        <v>45796</v>
      </c>
      <c r="C63" t="s">
        <v>180</v>
      </c>
      <c r="D63" t="s">
        <v>76</v>
      </c>
      <c r="E63" t="s">
        <v>10</v>
      </c>
      <c r="F63" t="s">
        <v>65</v>
      </c>
      <c r="G63" t="s">
        <v>87</v>
      </c>
      <c r="H63" t="s">
        <v>88</v>
      </c>
      <c r="I63">
        <v>155</v>
      </c>
      <c r="J63">
        <v>156</v>
      </c>
      <c r="K63">
        <v>10</v>
      </c>
      <c r="L63">
        <v>6</v>
      </c>
      <c r="M63">
        <v>20</v>
      </c>
      <c r="N63">
        <v>19.399999999999999</v>
      </c>
      <c r="O63">
        <v>311</v>
      </c>
      <c r="P63">
        <v>1</v>
      </c>
      <c r="Q63" t="s">
        <v>368</v>
      </c>
      <c r="R63" t="s">
        <v>141</v>
      </c>
      <c r="S63" t="s">
        <v>144</v>
      </c>
      <c r="T63" t="s">
        <v>144</v>
      </c>
      <c r="U63" t="s">
        <v>367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6C9F2-EF45-47A1-A63F-D6A21FD54E86}">
  <dimension ref="A1:U63"/>
  <sheetViews>
    <sheetView workbookViewId="0"/>
  </sheetViews>
  <sheetFormatPr defaultRowHeight="14.4" x14ac:dyDescent="0.3"/>
  <cols>
    <col min="1" max="1" width="21.5546875" bestFit="1" customWidth="1"/>
    <col min="2" max="2" width="17.6640625" bestFit="1" customWidth="1"/>
    <col min="3" max="3" width="21.5546875" bestFit="1" customWidth="1"/>
    <col min="4" max="5" width="22" bestFit="1" customWidth="1"/>
    <col min="6" max="6" width="24.33203125" bestFit="1" customWidth="1"/>
    <col min="7" max="7" width="25.77734375" bestFit="1" customWidth="1"/>
    <col min="8" max="8" width="25.6640625" bestFit="1" customWidth="1"/>
    <col min="9" max="10" width="24.33203125" bestFit="1" customWidth="1"/>
    <col min="11" max="12" width="27.109375" bestFit="1" customWidth="1"/>
    <col min="13" max="14" width="25.109375" bestFit="1" customWidth="1"/>
    <col min="15" max="15" width="22.77734375" bestFit="1" customWidth="1"/>
    <col min="16" max="16" width="23.5546875" bestFit="1" customWidth="1"/>
    <col min="17" max="17" width="21.77734375" bestFit="1" customWidth="1"/>
    <col min="18" max="18" width="29" bestFit="1" customWidth="1"/>
    <col min="19" max="20" width="39.109375" bestFit="1" customWidth="1"/>
    <col min="21" max="21" width="29.44140625" bestFit="1" customWidth="1"/>
  </cols>
  <sheetData>
    <row r="1" spans="1:21" x14ac:dyDescent="0.3">
      <c r="A1" s="14" t="s">
        <v>379</v>
      </c>
    </row>
    <row r="3" spans="1:21" x14ac:dyDescent="0.3">
      <c r="A3" t="s">
        <v>345</v>
      </c>
      <c r="B3" t="s">
        <v>346</v>
      </c>
      <c r="C3" t="s">
        <v>347</v>
      </c>
      <c r="D3" t="s">
        <v>348</v>
      </c>
      <c r="E3" t="s">
        <v>349</v>
      </c>
      <c r="F3" t="s">
        <v>350</v>
      </c>
      <c r="G3" t="s">
        <v>351</v>
      </c>
      <c r="H3" t="s">
        <v>352</v>
      </c>
      <c r="I3" t="s">
        <v>353</v>
      </c>
      <c r="J3" t="s">
        <v>354</v>
      </c>
      <c r="K3" t="s">
        <v>355</v>
      </c>
      <c r="L3" t="s">
        <v>356</v>
      </c>
      <c r="M3" t="s">
        <v>357</v>
      </c>
      <c r="N3" t="s">
        <v>358</v>
      </c>
      <c r="O3" t="s">
        <v>359</v>
      </c>
      <c r="P3" t="s">
        <v>360</v>
      </c>
      <c r="Q3" t="s">
        <v>361</v>
      </c>
      <c r="R3" t="s">
        <v>362</v>
      </c>
      <c r="S3" t="s">
        <v>363</v>
      </c>
      <c r="T3" t="s">
        <v>364</v>
      </c>
      <c r="U3" t="s">
        <v>365</v>
      </c>
    </row>
    <row r="4" spans="1:21" x14ac:dyDescent="0.3">
      <c r="A4" t="s">
        <v>173</v>
      </c>
      <c r="B4" s="1">
        <v>45738</v>
      </c>
      <c r="C4" t="s">
        <v>174</v>
      </c>
      <c r="D4" t="s">
        <v>32</v>
      </c>
      <c r="E4" t="s">
        <v>44</v>
      </c>
      <c r="F4" t="s">
        <v>32</v>
      </c>
      <c r="G4" t="s">
        <v>32</v>
      </c>
      <c r="H4" t="s">
        <v>30</v>
      </c>
      <c r="I4">
        <v>192</v>
      </c>
      <c r="J4">
        <v>174</v>
      </c>
      <c r="K4">
        <v>4</v>
      </c>
      <c r="L4">
        <v>8</v>
      </c>
      <c r="M4">
        <v>20</v>
      </c>
      <c r="N4">
        <v>20</v>
      </c>
      <c r="O4">
        <v>366</v>
      </c>
      <c r="P4">
        <v>18</v>
      </c>
      <c r="Q4" t="s">
        <v>366</v>
      </c>
      <c r="R4" t="s">
        <v>117</v>
      </c>
      <c r="S4" t="s">
        <v>120</v>
      </c>
      <c r="T4" t="s">
        <v>120</v>
      </c>
      <c r="U4" t="s">
        <v>367</v>
      </c>
    </row>
    <row r="5" spans="1:21" x14ac:dyDescent="0.3">
      <c r="A5" t="s">
        <v>175</v>
      </c>
      <c r="B5" s="1">
        <v>45739</v>
      </c>
      <c r="C5" t="s">
        <v>176</v>
      </c>
      <c r="D5" t="s">
        <v>98</v>
      </c>
      <c r="E5" t="s">
        <v>65</v>
      </c>
      <c r="F5" t="s">
        <v>98</v>
      </c>
      <c r="G5" t="s">
        <v>98</v>
      </c>
      <c r="H5" t="s">
        <v>103</v>
      </c>
      <c r="I5">
        <v>184</v>
      </c>
      <c r="J5">
        <v>183</v>
      </c>
      <c r="K5">
        <v>7</v>
      </c>
      <c r="L5">
        <v>9</v>
      </c>
      <c r="M5">
        <v>20</v>
      </c>
      <c r="N5">
        <v>20</v>
      </c>
      <c r="O5">
        <v>367</v>
      </c>
      <c r="P5">
        <v>1</v>
      </c>
      <c r="Q5" t="s">
        <v>366</v>
      </c>
      <c r="R5" t="s">
        <v>153</v>
      </c>
      <c r="S5" t="s">
        <v>156</v>
      </c>
      <c r="T5" t="s">
        <v>156</v>
      </c>
      <c r="U5" t="s">
        <v>367</v>
      </c>
    </row>
    <row r="6" spans="1:21" x14ac:dyDescent="0.3">
      <c r="A6" t="s">
        <v>177</v>
      </c>
      <c r="B6" s="1">
        <v>45739</v>
      </c>
      <c r="C6" t="s">
        <v>178</v>
      </c>
      <c r="D6" t="s">
        <v>54</v>
      </c>
      <c r="E6" t="s">
        <v>87</v>
      </c>
      <c r="F6" t="s">
        <v>87</v>
      </c>
      <c r="G6" t="s">
        <v>54</v>
      </c>
      <c r="H6" t="s">
        <v>55</v>
      </c>
      <c r="I6">
        <v>208</v>
      </c>
      <c r="J6">
        <v>198</v>
      </c>
      <c r="K6">
        <v>6</v>
      </c>
      <c r="L6">
        <v>7</v>
      </c>
      <c r="M6">
        <v>20</v>
      </c>
      <c r="N6">
        <v>20</v>
      </c>
      <c r="O6">
        <v>406</v>
      </c>
      <c r="P6">
        <v>10</v>
      </c>
      <c r="Q6" t="s">
        <v>366</v>
      </c>
      <c r="R6" t="s">
        <v>129</v>
      </c>
      <c r="S6" t="s">
        <v>132</v>
      </c>
      <c r="T6" t="s">
        <v>132</v>
      </c>
      <c r="U6" t="s">
        <v>367</v>
      </c>
    </row>
    <row r="7" spans="1:21" x14ac:dyDescent="0.3">
      <c r="A7" t="s">
        <v>179</v>
      </c>
      <c r="B7" s="1">
        <v>45740</v>
      </c>
      <c r="C7" t="s">
        <v>180</v>
      </c>
      <c r="D7" t="s">
        <v>76</v>
      </c>
      <c r="E7" t="s">
        <v>10</v>
      </c>
      <c r="F7" t="s">
        <v>10</v>
      </c>
      <c r="G7" t="s">
        <v>76</v>
      </c>
      <c r="H7" t="s">
        <v>74</v>
      </c>
      <c r="I7">
        <v>193</v>
      </c>
      <c r="J7">
        <v>165</v>
      </c>
      <c r="K7">
        <v>5</v>
      </c>
      <c r="L7">
        <v>10</v>
      </c>
      <c r="M7">
        <v>20</v>
      </c>
      <c r="N7">
        <v>17.2</v>
      </c>
      <c r="O7">
        <v>358</v>
      </c>
      <c r="P7">
        <v>28</v>
      </c>
      <c r="Q7" t="s">
        <v>366</v>
      </c>
      <c r="R7" t="s">
        <v>141</v>
      </c>
      <c r="S7" t="s">
        <v>144</v>
      </c>
      <c r="T7" t="s">
        <v>144</v>
      </c>
      <c r="U7" t="s">
        <v>367</v>
      </c>
    </row>
    <row r="8" spans="1:21" x14ac:dyDescent="0.3">
      <c r="A8" t="s">
        <v>181</v>
      </c>
      <c r="B8" s="1">
        <v>45741</v>
      </c>
      <c r="C8" t="s">
        <v>182</v>
      </c>
      <c r="D8" t="s">
        <v>44</v>
      </c>
      <c r="E8" t="s">
        <v>76</v>
      </c>
      <c r="F8" t="s">
        <v>44</v>
      </c>
      <c r="G8" t="s">
        <v>76</v>
      </c>
      <c r="H8" t="s">
        <v>83</v>
      </c>
      <c r="I8">
        <v>181</v>
      </c>
      <c r="J8">
        <v>185</v>
      </c>
      <c r="K8">
        <v>5</v>
      </c>
      <c r="L8">
        <v>4</v>
      </c>
      <c r="M8">
        <v>20</v>
      </c>
      <c r="N8">
        <v>19.3</v>
      </c>
      <c r="O8">
        <v>366</v>
      </c>
      <c r="P8">
        <v>4</v>
      </c>
      <c r="Q8" t="s">
        <v>368</v>
      </c>
      <c r="R8" t="s">
        <v>123</v>
      </c>
      <c r="S8" t="s">
        <v>126</v>
      </c>
      <c r="T8" t="s">
        <v>126</v>
      </c>
      <c r="U8" t="s">
        <v>367</v>
      </c>
    </row>
    <row r="9" spans="1:21" x14ac:dyDescent="0.3">
      <c r="A9" t="s">
        <v>183</v>
      </c>
      <c r="B9" s="1">
        <v>45742</v>
      </c>
      <c r="C9" t="s">
        <v>184</v>
      </c>
      <c r="D9" t="s">
        <v>65</v>
      </c>
      <c r="E9" t="s">
        <v>54</v>
      </c>
      <c r="F9" t="s">
        <v>65</v>
      </c>
      <c r="G9" t="s">
        <v>54</v>
      </c>
      <c r="H9" t="s">
        <v>58</v>
      </c>
      <c r="I9">
        <v>164</v>
      </c>
      <c r="J9">
        <v>165</v>
      </c>
      <c r="K9">
        <v>8</v>
      </c>
      <c r="L9">
        <v>3</v>
      </c>
      <c r="M9">
        <v>20</v>
      </c>
      <c r="N9">
        <v>18.399999999999999</v>
      </c>
      <c r="O9">
        <v>329</v>
      </c>
      <c r="P9">
        <v>1</v>
      </c>
      <c r="Q9" t="s">
        <v>368</v>
      </c>
      <c r="R9" t="s">
        <v>135</v>
      </c>
      <c r="S9" t="s">
        <v>138</v>
      </c>
      <c r="T9" t="s">
        <v>138</v>
      </c>
      <c r="U9" t="s">
        <v>367</v>
      </c>
    </row>
    <row r="10" spans="1:21" x14ac:dyDescent="0.3">
      <c r="A10" t="s">
        <v>185</v>
      </c>
      <c r="B10" s="1">
        <v>45743</v>
      </c>
      <c r="C10" t="s">
        <v>174</v>
      </c>
      <c r="D10" t="s">
        <v>32</v>
      </c>
      <c r="E10" t="s">
        <v>87</v>
      </c>
      <c r="F10" t="s">
        <v>87</v>
      </c>
      <c r="G10" t="s">
        <v>32</v>
      </c>
      <c r="H10" t="s">
        <v>33</v>
      </c>
      <c r="I10">
        <v>178</v>
      </c>
      <c r="J10">
        <v>169</v>
      </c>
      <c r="K10">
        <v>6</v>
      </c>
      <c r="L10">
        <v>9</v>
      </c>
      <c r="M10">
        <v>20</v>
      </c>
      <c r="N10">
        <v>20</v>
      </c>
      <c r="O10">
        <v>347</v>
      </c>
      <c r="P10">
        <v>9</v>
      </c>
      <c r="Q10" t="s">
        <v>366</v>
      </c>
      <c r="R10" t="s">
        <v>117</v>
      </c>
      <c r="S10" t="s">
        <v>120</v>
      </c>
      <c r="T10" t="s">
        <v>120</v>
      </c>
      <c r="U10" t="s">
        <v>367</v>
      </c>
    </row>
    <row r="11" spans="1:21" x14ac:dyDescent="0.3">
      <c r="A11" t="s">
        <v>186</v>
      </c>
      <c r="B11" s="1">
        <v>45744</v>
      </c>
      <c r="C11" t="s">
        <v>187</v>
      </c>
      <c r="D11" t="s">
        <v>10</v>
      </c>
      <c r="E11" t="s">
        <v>98</v>
      </c>
      <c r="F11" t="s">
        <v>10</v>
      </c>
      <c r="G11" t="s">
        <v>98</v>
      </c>
      <c r="H11" t="s">
        <v>101</v>
      </c>
      <c r="I11">
        <v>154</v>
      </c>
      <c r="J11">
        <v>155</v>
      </c>
      <c r="K11">
        <v>10</v>
      </c>
      <c r="L11">
        <v>3</v>
      </c>
      <c r="M11">
        <v>19.5</v>
      </c>
      <c r="N11">
        <v>17</v>
      </c>
      <c r="O11">
        <v>309</v>
      </c>
      <c r="P11">
        <v>1</v>
      </c>
      <c r="Q11" t="s">
        <v>368</v>
      </c>
      <c r="R11" t="s">
        <v>111</v>
      </c>
      <c r="S11" t="s">
        <v>114</v>
      </c>
      <c r="T11" t="s">
        <v>114</v>
      </c>
      <c r="U11" t="s">
        <v>367</v>
      </c>
    </row>
    <row r="12" spans="1:21" x14ac:dyDescent="0.3">
      <c r="A12" t="s">
        <v>188</v>
      </c>
      <c r="B12" s="1">
        <v>45745</v>
      </c>
      <c r="C12" t="s">
        <v>178</v>
      </c>
      <c r="D12" t="s">
        <v>54</v>
      </c>
      <c r="E12" t="s">
        <v>44</v>
      </c>
      <c r="F12" t="s">
        <v>44</v>
      </c>
      <c r="G12" t="s">
        <v>54</v>
      </c>
      <c r="H12" t="s">
        <v>60</v>
      </c>
      <c r="I12">
        <v>171</v>
      </c>
      <c r="J12">
        <v>156</v>
      </c>
      <c r="K12">
        <v>5</v>
      </c>
      <c r="L12">
        <v>9</v>
      </c>
      <c r="M12">
        <v>20</v>
      </c>
      <c r="N12">
        <v>18.3</v>
      </c>
      <c r="O12">
        <v>327</v>
      </c>
      <c r="P12">
        <v>15</v>
      </c>
      <c r="Q12" t="s">
        <v>366</v>
      </c>
      <c r="R12" t="s">
        <v>129</v>
      </c>
      <c r="S12" t="s">
        <v>132</v>
      </c>
      <c r="T12" t="s">
        <v>132</v>
      </c>
      <c r="U12" t="s">
        <v>367</v>
      </c>
    </row>
    <row r="13" spans="1:21" x14ac:dyDescent="0.3">
      <c r="A13" t="s">
        <v>189</v>
      </c>
      <c r="B13" s="1">
        <v>45746</v>
      </c>
      <c r="C13" t="s">
        <v>180</v>
      </c>
      <c r="D13" t="s">
        <v>76</v>
      </c>
      <c r="E13" t="s">
        <v>65</v>
      </c>
      <c r="F13" t="s">
        <v>65</v>
      </c>
      <c r="G13" t="s">
        <v>65</v>
      </c>
      <c r="H13" t="s">
        <v>66</v>
      </c>
      <c r="I13">
        <v>149</v>
      </c>
      <c r="J13">
        <v>150</v>
      </c>
      <c r="K13">
        <v>9</v>
      </c>
      <c r="L13">
        <v>4</v>
      </c>
      <c r="M13">
        <v>20</v>
      </c>
      <c r="N13">
        <v>18.100000000000001</v>
      </c>
      <c r="O13">
        <v>299</v>
      </c>
      <c r="P13">
        <v>1</v>
      </c>
      <c r="Q13" t="s">
        <v>368</v>
      </c>
      <c r="R13" t="s">
        <v>141</v>
      </c>
      <c r="S13" t="s">
        <v>144</v>
      </c>
      <c r="T13" t="s">
        <v>144</v>
      </c>
      <c r="U13" t="s">
        <v>367</v>
      </c>
    </row>
    <row r="14" spans="1:21" x14ac:dyDescent="0.3">
      <c r="A14" t="s">
        <v>190</v>
      </c>
      <c r="B14" s="1">
        <v>45747</v>
      </c>
      <c r="C14" t="s">
        <v>191</v>
      </c>
      <c r="D14" t="s">
        <v>87</v>
      </c>
      <c r="E14" t="s">
        <v>10</v>
      </c>
      <c r="F14" t="s">
        <v>10</v>
      </c>
      <c r="G14" t="s">
        <v>87</v>
      </c>
      <c r="H14" t="s">
        <v>85</v>
      </c>
      <c r="I14">
        <v>177</v>
      </c>
      <c r="J14">
        <v>152</v>
      </c>
      <c r="K14">
        <v>7</v>
      </c>
      <c r="L14">
        <v>8</v>
      </c>
      <c r="M14">
        <v>20</v>
      </c>
      <c r="N14">
        <v>18.399999999999999</v>
      </c>
      <c r="O14">
        <v>329</v>
      </c>
      <c r="P14">
        <v>25</v>
      </c>
      <c r="Q14" t="s">
        <v>366</v>
      </c>
      <c r="R14" t="s">
        <v>147</v>
      </c>
      <c r="S14" t="s">
        <v>150</v>
      </c>
      <c r="T14" t="s">
        <v>150</v>
      </c>
      <c r="U14" t="s">
        <v>367</v>
      </c>
    </row>
    <row r="15" spans="1:21" x14ac:dyDescent="0.3">
      <c r="A15" t="s">
        <v>192</v>
      </c>
      <c r="B15" s="1">
        <v>45748</v>
      </c>
      <c r="C15" t="s">
        <v>176</v>
      </c>
      <c r="D15" t="s">
        <v>98</v>
      </c>
      <c r="E15" t="s">
        <v>32</v>
      </c>
      <c r="F15" t="s">
        <v>32</v>
      </c>
      <c r="G15" t="s">
        <v>32</v>
      </c>
      <c r="H15" t="s">
        <v>36</v>
      </c>
      <c r="I15">
        <v>161</v>
      </c>
      <c r="J15">
        <v>162</v>
      </c>
      <c r="K15">
        <v>8</v>
      </c>
      <c r="L15">
        <v>6</v>
      </c>
      <c r="M15">
        <v>20</v>
      </c>
      <c r="N15">
        <v>19.2</v>
      </c>
      <c r="O15">
        <v>323</v>
      </c>
      <c r="P15">
        <v>1</v>
      </c>
      <c r="Q15" t="s">
        <v>368</v>
      </c>
      <c r="R15" t="s">
        <v>153</v>
      </c>
      <c r="S15" t="s">
        <v>156</v>
      </c>
      <c r="T15" t="s">
        <v>156</v>
      </c>
      <c r="U15" t="s">
        <v>367</v>
      </c>
    </row>
    <row r="16" spans="1:21" x14ac:dyDescent="0.3">
      <c r="A16" t="s">
        <v>193</v>
      </c>
      <c r="B16" s="1">
        <v>45749</v>
      </c>
      <c r="C16" t="s">
        <v>182</v>
      </c>
      <c r="D16" t="s">
        <v>44</v>
      </c>
      <c r="E16" t="s">
        <v>65</v>
      </c>
      <c r="F16" t="s">
        <v>65</v>
      </c>
      <c r="G16" t="s">
        <v>44</v>
      </c>
      <c r="H16" t="s">
        <v>42</v>
      </c>
      <c r="I16">
        <v>198</v>
      </c>
      <c r="J16">
        <v>187</v>
      </c>
      <c r="K16">
        <v>3</v>
      </c>
      <c r="L16">
        <v>8</v>
      </c>
      <c r="M16">
        <v>20</v>
      </c>
      <c r="N16">
        <v>20</v>
      </c>
      <c r="O16">
        <v>385</v>
      </c>
      <c r="P16">
        <v>11</v>
      </c>
      <c r="Q16" t="s">
        <v>366</v>
      </c>
      <c r="R16" t="s">
        <v>123</v>
      </c>
      <c r="S16" t="s">
        <v>126</v>
      </c>
      <c r="T16" t="s">
        <v>126</v>
      </c>
      <c r="U16" t="s">
        <v>367</v>
      </c>
    </row>
    <row r="17" spans="1:21" x14ac:dyDescent="0.3">
      <c r="A17" t="s">
        <v>194</v>
      </c>
      <c r="B17" s="1">
        <v>45750</v>
      </c>
      <c r="C17" t="s">
        <v>187</v>
      </c>
      <c r="D17" t="s">
        <v>10</v>
      </c>
      <c r="E17" t="s">
        <v>76</v>
      </c>
      <c r="F17" t="s">
        <v>76</v>
      </c>
      <c r="G17" t="s">
        <v>10</v>
      </c>
      <c r="H17" t="s">
        <v>8</v>
      </c>
      <c r="I17">
        <v>188</v>
      </c>
      <c r="J17">
        <v>186</v>
      </c>
      <c r="K17">
        <v>6</v>
      </c>
      <c r="L17">
        <v>8</v>
      </c>
      <c r="M17">
        <v>20</v>
      </c>
      <c r="N17">
        <v>20</v>
      </c>
      <c r="O17">
        <v>374</v>
      </c>
      <c r="P17">
        <v>2</v>
      </c>
      <c r="Q17" t="s">
        <v>366</v>
      </c>
      <c r="R17" t="s">
        <v>111</v>
      </c>
      <c r="S17" t="s">
        <v>114</v>
      </c>
      <c r="T17" t="s">
        <v>114</v>
      </c>
      <c r="U17" t="s">
        <v>367</v>
      </c>
    </row>
    <row r="18" spans="1:21" x14ac:dyDescent="0.3">
      <c r="A18" t="s">
        <v>195</v>
      </c>
      <c r="B18" s="1">
        <v>45751</v>
      </c>
      <c r="C18" t="s">
        <v>178</v>
      </c>
      <c r="D18" t="s">
        <v>54</v>
      </c>
      <c r="E18" t="s">
        <v>98</v>
      </c>
      <c r="F18" t="s">
        <v>98</v>
      </c>
      <c r="G18" t="s">
        <v>98</v>
      </c>
      <c r="H18" t="s">
        <v>96</v>
      </c>
      <c r="I18">
        <v>169</v>
      </c>
      <c r="J18">
        <v>170</v>
      </c>
      <c r="K18">
        <v>8</v>
      </c>
      <c r="L18">
        <v>4</v>
      </c>
      <c r="M18">
        <v>20</v>
      </c>
      <c r="N18">
        <v>19.100000000000001</v>
      </c>
      <c r="O18">
        <v>339</v>
      </c>
      <c r="P18">
        <v>1</v>
      </c>
      <c r="Q18" t="s">
        <v>368</v>
      </c>
      <c r="R18" t="s">
        <v>129</v>
      </c>
      <c r="S18" t="s">
        <v>132</v>
      </c>
      <c r="T18" t="s">
        <v>132</v>
      </c>
      <c r="U18" t="s">
        <v>367</v>
      </c>
    </row>
    <row r="19" spans="1:21" x14ac:dyDescent="0.3">
      <c r="A19" t="s">
        <v>196</v>
      </c>
      <c r="B19" s="1">
        <v>45752</v>
      </c>
      <c r="C19" t="s">
        <v>184</v>
      </c>
      <c r="D19" t="s">
        <v>65</v>
      </c>
      <c r="E19" t="s">
        <v>87</v>
      </c>
      <c r="F19" t="s">
        <v>65</v>
      </c>
      <c r="G19" t="s">
        <v>87</v>
      </c>
      <c r="H19" t="s">
        <v>88</v>
      </c>
      <c r="I19">
        <v>155</v>
      </c>
      <c r="J19">
        <v>156</v>
      </c>
      <c r="K19">
        <v>10</v>
      </c>
      <c r="L19">
        <v>6</v>
      </c>
      <c r="M19">
        <v>20</v>
      </c>
      <c r="N19">
        <v>19.399999999999999</v>
      </c>
      <c r="O19">
        <v>311</v>
      </c>
      <c r="P19">
        <v>1</v>
      </c>
      <c r="Q19" t="s">
        <v>368</v>
      </c>
      <c r="R19" t="s">
        <v>135</v>
      </c>
      <c r="S19" t="s">
        <v>138</v>
      </c>
      <c r="T19" t="s">
        <v>138</v>
      </c>
      <c r="U19" t="s">
        <v>367</v>
      </c>
    </row>
    <row r="20" spans="1:21" x14ac:dyDescent="0.3">
      <c r="A20" t="s">
        <v>197</v>
      </c>
      <c r="B20" s="1">
        <v>45753</v>
      </c>
      <c r="C20" t="s">
        <v>174</v>
      </c>
      <c r="D20" t="s">
        <v>32</v>
      </c>
      <c r="E20" t="s">
        <v>10</v>
      </c>
      <c r="F20" t="s">
        <v>10</v>
      </c>
      <c r="G20" t="s">
        <v>32</v>
      </c>
      <c r="H20" t="s">
        <v>30</v>
      </c>
      <c r="I20">
        <v>180</v>
      </c>
      <c r="J20">
        <v>178</v>
      </c>
      <c r="K20">
        <v>5</v>
      </c>
      <c r="L20">
        <v>8</v>
      </c>
      <c r="M20">
        <v>20</v>
      </c>
      <c r="N20">
        <v>20</v>
      </c>
      <c r="O20">
        <v>358</v>
      </c>
      <c r="P20">
        <v>2</v>
      </c>
      <c r="Q20" t="s">
        <v>366</v>
      </c>
      <c r="R20" t="s">
        <v>117</v>
      </c>
      <c r="S20" t="s">
        <v>120</v>
      </c>
      <c r="T20" t="s">
        <v>120</v>
      </c>
      <c r="U20" t="s">
        <v>367</v>
      </c>
    </row>
    <row r="21" spans="1:21" x14ac:dyDescent="0.3">
      <c r="A21" t="s">
        <v>198</v>
      </c>
      <c r="B21" s="1">
        <v>45754</v>
      </c>
      <c r="C21" t="s">
        <v>182</v>
      </c>
      <c r="D21" t="s">
        <v>44</v>
      </c>
      <c r="E21" t="s">
        <v>98</v>
      </c>
      <c r="F21" t="s">
        <v>44</v>
      </c>
      <c r="G21" t="s">
        <v>44</v>
      </c>
      <c r="H21" t="s">
        <v>47</v>
      </c>
      <c r="I21">
        <v>194</v>
      </c>
      <c r="J21">
        <v>188</v>
      </c>
      <c r="K21">
        <v>6</v>
      </c>
      <c r="L21">
        <v>7</v>
      </c>
      <c r="M21">
        <v>20</v>
      </c>
      <c r="N21">
        <v>20</v>
      </c>
      <c r="O21">
        <v>382</v>
      </c>
      <c r="P21">
        <v>6</v>
      </c>
      <c r="Q21" t="s">
        <v>366</v>
      </c>
      <c r="R21" t="s">
        <v>123</v>
      </c>
      <c r="S21" t="s">
        <v>126</v>
      </c>
      <c r="T21" t="s">
        <v>126</v>
      </c>
      <c r="U21" t="s">
        <v>367</v>
      </c>
    </row>
    <row r="22" spans="1:21" x14ac:dyDescent="0.3">
      <c r="A22" t="s">
        <v>199</v>
      </c>
      <c r="B22" s="1">
        <v>45755</v>
      </c>
      <c r="C22" t="s">
        <v>180</v>
      </c>
      <c r="D22" t="s">
        <v>76</v>
      </c>
      <c r="E22" t="s">
        <v>54</v>
      </c>
      <c r="F22" t="s">
        <v>54</v>
      </c>
      <c r="G22" t="s">
        <v>76</v>
      </c>
      <c r="H22" t="s">
        <v>78</v>
      </c>
      <c r="I22">
        <v>172</v>
      </c>
      <c r="J22">
        <v>171</v>
      </c>
      <c r="K22">
        <v>9</v>
      </c>
      <c r="L22">
        <v>10</v>
      </c>
      <c r="M22">
        <v>20</v>
      </c>
      <c r="N22">
        <v>20</v>
      </c>
      <c r="O22">
        <v>343</v>
      </c>
      <c r="P22">
        <v>1</v>
      </c>
      <c r="Q22" t="s">
        <v>366</v>
      </c>
      <c r="R22" t="s">
        <v>141</v>
      </c>
      <c r="S22" t="s">
        <v>144</v>
      </c>
      <c r="T22" t="s">
        <v>144</v>
      </c>
      <c r="U22" t="s">
        <v>367</v>
      </c>
    </row>
    <row r="23" spans="1:21" x14ac:dyDescent="0.3">
      <c r="A23" t="s">
        <v>200</v>
      </c>
      <c r="B23" s="1">
        <v>45756</v>
      </c>
      <c r="C23" t="s">
        <v>191</v>
      </c>
      <c r="D23" t="s">
        <v>87</v>
      </c>
      <c r="E23" t="s">
        <v>65</v>
      </c>
      <c r="F23" t="s">
        <v>65</v>
      </c>
      <c r="G23" t="s">
        <v>65</v>
      </c>
      <c r="H23" t="s">
        <v>69</v>
      </c>
      <c r="I23">
        <v>166</v>
      </c>
      <c r="J23">
        <v>167</v>
      </c>
      <c r="K23">
        <v>7</v>
      </c>
      <c r="L23">
        <v>5</v>
      </c>
      <c r="M23">
        <v>20</v>
      </c>
      <c r="N23">
        <v>19.100000000000001</v>
      </c>
      <c r="O23">
        <v>333</v>
      </c>
      <c r="P23">
        <v>1</v>
      </c>
      <c r="Q23" t="s">
        <v>368</v>
      </c>
      <c r="R23" t="s">
        <v>147</v>
      </c>
      <c r="S23" t="s">
        <v>150</v>
      </c>
      <c r="T23" t="s">
        <v>150</v>
      </c>
      <c r="U23" t="s">
        <v>367</v>
      </c>
    </row>
    <row r="24" spans="1:21" x14ac:dyDescent="0.3">
      <c r="A24" t="s">
        <v>201</v>
      </c>
      <c r="B24" s="1">
        <v>45757</v>
      </c>
      <c r="C24" t="s">
        <v>187</v>
      </c>
      <c r="D24" t="s">
        <v>10</v>
      </c>
      <c r="E24" t="s">
        <v>54</v>
      </c>
      <c r="F24" t="s">
        <v>54</v>
      </c>
      <c r="G24" t="s">
        <v>10</v>
      </c>
      <c r="H24" t="s">
        <v>15</v>
      </c>
      <c r="I24">
        <v>175</v>
      </c>
      <c r="J24">
        <v>170</v>
      </c>
      <c r="K24">
        <v>7</v>
      </c>
      <c r="L24">
        <v>9</v>
      </c>
      <c r="M24">
        <v>20</v>
      </c>
      <c r="N24">
        <v>20</v>
      </c>
      <c r="O24">
        <v>345</v>
      </c>
      <c r="P24">
        <v>5</v>
      </c>
      <c r="Q24" t="s">
        <v>366</v>
      </c>
      <c r="R24" t="s">
        <v>111</v>
      </c>
      <c r="S24" t="s">
        <v>114</v>
      </c>
      <c r="T24" t="s">
        <v>114</v>
      </c>
      <c r="U24" t="s">
        <v>367</v>
      </c>
    </row>
    <row r="25" spans="1:21" x14ac:dyDescent="0.3">
      <c r="A25" t="s">
        <v>202</v>
      </c>
      <c r="B25" s="1">
        <v>45758</v>
      </c>
      <c r="C25" t="s">
        <v>176</v>
      </c>
      <c r="D25" t="s">
        <v>98</v>
      </c>
      <c r="E25" t="s">
        <v>76</v>
      </c>
      <c r="F25" t="s">
        <v>76</v>
      </c>
      <c r="G25" t="s">
        <v>98</v>
      </c>
      <c r="H25" t="s">
        <v>99</v>
      </c>
      <c r="I25">
        <v>159</v>
      </c>
      <c r="J25">
        <v>158</v>
      </c>
      <c r="K25">
        <v>6</v>
      </c>
      <c r="L25">
        <v>7</v>
      </c>
      <c r="M25">
        <v>20</v>
      </c>
      <c r="N25">
        <v>20</v>
      </c>
      <c r="O25">
        <v>317</v>
      </c>
      <c r="P25">
        <v>1</v>
      </c>
      <c r="Q25" t="s">
        <v>366</v>
      </c>
      <c r="R25" t="s">
        <v>153</v>
      </c>
      <c r="S25" t="s">
        <v>156</v>
      </c>
      <c r="T25" t="s">
        <v>156</v>
      </c>
      <c r="U25" t="s">
        <v>367</v>
      </c>
    </row>
    <row r="26" spans="1:21" x14ac:dyDescent="0.3">
      <c r="A26" t="s">
        <v>203</v>
      </c>
      <c r="B26" s="1">
        <v>45759</v>
      </c>
      <c r="C26" t="s">
        <v>174</v>
      </c>
      <c r="D26" t="s">
        <v>32</v>
      </c>
      <c r="E26" t="s">
        <v>44</v>
      </c>
      <c r="F26" t="s">
        <v>44</v>
      </c>
      <c r="G26" t="s">
        <v>44</v>
      </c>
      <c r="H26" t="s">
        <v>42</v>
      </c>
      <c r="I26">
        <v>183</v>
      </c>
      <c r="J26">
        <v>184</v>
      </c>
      <c r="K26">
        <v>8</v>
      </c>
      <c r="L26">
        <v>6</v>
      </c>
      <c r="M26">
        <v>20</v>
      </c>
      <c r="N26">
        <v>19.399999999999999</v>
      </c>
      <c r="O26">
        <v>367</v>
      </c>
      <c r="P26">
        <v>1</v>
      </c>
      <c r="Q26" t="s">
        <v>368</v>
      </c>
      <c r="R26" t="s">
        <v>117</v>
      </c>
      <c r="S26" t="s">
        <v>120</v>
      </c>
      <c r="T26" t="s">
        <v>120</v>
      </c>
      <c r="U26" t="s">
        <v>367</v>
      </c>
    </row>
    <row r="27" spans="1:21" x14ac:dyDescent="0.3">
      <c r="A27" t="s">
        <v>204</v>
      </c>
      <c r="B27" s="1">
        <v>45760</v>
      </c>
      <c r="C27" t="s">
        <v>184</v>
      </c>
      <c r="D27" t="s">
        <v>65</v>
      </c>
      <c r="E27" t="s">
        <v>10</v>
      </c>
      <c r="F27" t="s">
        <v>65</v>
      </c>
      <c r="G27" t="s">
        <v>10</v>
      </c>
      <c r="H27" t="s">
        <v>19</v>
      </c>
      <c r="I27">
        <v>168</v>
      </c>
      <c r="J27">
        <v>171</v>
      </c>
      <c r="K27">
        <v>5</v>
      </c>
      <c r="L27">
        <v>4</v>
      </c>
      <c r="M27">
        <v>20</v>
      </c>
      <c r="N27">
        <v>19.100000000000001</v>
      </c>
      <c r="O27">
        <v>339</v>
      </c>
      <c r="P27">
        <v>3</v>
      </c>
      <c r="Q27" t="s">
        <v>368</v>
      </c>
      <c r="R27" t="s">
        <v>135</v>
      </c>
      <c r="S27" t="s">
        <v>138</v>
      </c>
      <c r="T27" t="s">
        <v>138</v>
      </c>
      <c r="U27" t="s">
        <v>367</v>
      </c>
    </row>
    <row r="28" spans="1:21" x14ac:dyDescent="0.3">
      <c r="A28" t="s">
        <v>205</v>
      </c>
      <c r="B28" s="1">
        <v>45761</v>
      </c>
      <c r="C28" t="s">
        <v>191</v>
      </c>
      <c r="D28" t="s">
        <v>87</v>
      </c>
      <c r="E28" t="s">
        <v>98</v>
      </c>
      <c r="F28" t="s">
        <v>87</v>
      </c>
      <c r="G28" t="s">
        <v>98</v>
      </c>
      <c r="H28" t="s">
        <v>103</v>
      </c>
      <c r="I28">
        <v>186</v>
      </c>
      <c r="J28">
        <v>187</v>
      </c>
      <c r="K28">
        <v>6</v>
      </c>
      <c r="L28">
        <v>5</v>
      </c>
      <c r="M28">
        <v>20</v>
      </c>
      <c r="N28">
        <v>19.2</v>
      </c>
      <c r="O28">
        <v>373</v>
      </c>
      <c r="P28">
        <v>1</v>
      </c>
      <c r="Q28" t="s">
        <v>368</v>
      </c>
      <c r="R28" t="s">
        <v>147</v>
      </c>
      <c r="S28" t="s">
        <v>150</v>
      </c>
      <c r="T28" t="s">
        <v>150</v>
      </c>
      <c r="U28" t="s">
        <v>367</v>
      </c>
    </row>
    <row r="29" spans="1:21" x14ac:dyDescent="0.3">
      <c r="A29" t="s">
        <v>206</v>
      </c>
      <c r="B29" s="1">
        <v>45762</v>
      </c>
      <c r="C29" t="s">
        <v>178</v>
      </c>
      <c r="D29" t="s">
        <v>54</v>
      </c>
      <c r="E29" t="s">
        <v>32</v>
      </c>
      <c r="F29" t="s">
        <v>32</v>
      </c>
      <c r="G29" t="s">
        <v>32</v>
      </c>
      <c r="H29" t="s">
        <v>39</v>
      </c>
      <c r="I29">
        <v>160</v>
      </c>
      <c r="J29">
        <v>161</v>
      </c>
      <c r="K29">
        <v>9</v>
      </c>
      <c r="L29">
        <v>7</v>
      </c>
      <c r="M29">
        <v>20</v>
      </c>
      <c r="N29">
        <v>19.5</v>
      </c>
      <c r="O29">
        <v>321</v>
      </c>
      <c r="P29">
        <v>1</v>
      </c>
      <c r="Q29" t="s">
        <v>368</v>
      </c>
      <c r="R29" t="s">
        <v>129</v>
      </c>
      <c r="S29" t="s">
        <v>132</v>
      </c>
      <c r="T29" t="s">
        <v>132</v>
      </c>
      <c r="U29" t="s">
        <v>367</v>
      </c>
    </row>
    <row r="30" spans="1:21" x14ac:dyDescent="0.3">
      <c r="A30" t="s">
        <v>207</v>
      </c>
      <c r="B30" s="1">
        <v>45763</v>
      </c>
      <c r="C30" t="s">
        <v>180</v>
      </c>
      <c r="D30" t="s">
        <v>76</v>
      </c>
      <c r="E30" t="s">
        <v>44</v>
      </c>
      <c r="F30" t="s">
        <v>44</v>
      </c>
      <c r="G30" t="s">
        <v>76</v>
      </c>
      <c r="H30" t="s">
        <v>74</v>
      </c>
      <c r="I30">
        <v>190</v>
      </c>
      <c r="J30">
        <v>185</v>
      </c>
      <c r="K30">
        <v>5</v>
      </c>
      <c r="L30">
        <v>8</v>
      </c>
      <c r="M30">
        <v>20</v>
      </c>
      <c r="N30">
        <v>20</v>
      </c>
      <c r="O30">
        <v>375</v>
      </c>
      <c r="P30">
        <v>5</v>
      </c>
      <c r="Q30" t="s">
        <v>366</v>
      </c>
      <c r="R30" t="s">
        <v>141</v>
      </c>
      <c r="S30" t="s">
        <v>144</v>
      </c>
      <c r="T30" t="s">
        <v>144</v>
      </c>
      <c r="U30" t="s">
        <v>367</v>
      </c>
    </row>
    <row r="31" spans="1:21" x14ac:dyDescent="0.3">
      <c r="A31" t="s">
        <v>208</v>
      </c>
      <c r="B31" s="1">
        <v>45764</v>
      </c>
      <c r="C31" t="s">
        <v>187</v>
      </c>
      <c r="D31" t="s">
        <v>10</v>
      </c>
      <c r="E31" t="s">
        <v>65</v>
      </c>
      <c r="F31" t="s">
        <v>10</v>
      </c>
      <c r="G31" t="s">
        <v>10</v>
      </c>
      <c r="H31" t="s">
        <v>24</v>
      </c>
      <c r="I31">
        <v>189</v>
      </c>
      <c r="J31">
        <v>173</v>
      </c>
      <c r="K31">
        <v>3</v>
      </c>
      <c r="L31">
        <v>9</v>
      </c>
      <c r="M31">
        <v>20</v>
      </c>
      <c r="N31">
        <v>20</v>
      </c>
      <c r="O31">
        <v>362</v>
      </c>
      <c r="P31">
        <v>16</v>
      </c>
      <c r="Q31" t="s">
        <v>366</v>
      </c>
      <c r="R31" t="s">
        <v>111</v>
      </c>
      <c r="S31" t="s">
        <v>114</v>
      </c>
      <c r="T31" t="s">
        <v>114</v>
      </c>
      <c r="U31" t="s">
        <v>367</v>
      </c>
    </row>
    <row r="32" spans="1:21" x14ac:dyDescent="0.3">
      <c r="A32" t="s">
        <v>209</v>
      </c>
      <c r="B32" s="1">
        <v>45765</v>
      </c>
      <c r="C32" t="s">
        <v>176</v>
      </c>
      <c r="D32" t="s">
        <v>98</v>
      </c>
      <c r="E32" t="s">
        <v>87</v>
      </c>
      <c r="F32" t="s">
        <v>98</v>
      </c>
      <c r="G32" t="s">
        <v>87</v>
      </c>
      <c r="H32" t="s">
        <v>91</v>
      </c>
      <c r="I32">
        <v>157</v>
      </c>
      <c r="J32">
        <v>158</v>
      </c>
      <c r="K32">
        <v>7</v>
      </c>
      <c r="L32">
        <v>6</v>
      </c>
      <c r="M32">
        <v>20</v>
      </c>
      <c r="N32">
        <v>19.3</v>
      </c>
      <c r="O32">
        <v>315</v>
      </c>
      <c r="P32">
        <v>1</v>
      </c>
      <c r="Q32" t="s">
        <v>368</v>
      </c>
      <c r="R32" t="s">
        <v>153</v>
      </c>
      <c r="S32" t="s">
        <v>156</v>
      </c>
      <c r="T32" t="s">
        <v>156</v>
      </c>
      <c r="U32" t="s">
        <v>367</v>
      </c>
    </row>
    <row r="33" spans="1:21" x14ac:dyDescent="0.3">
      <c r="A33" t="s">
        <v>210</v>
      </c>
      <c r="B33" s="1">
        <v>45766</v>
      </c>
      <c r="C33" t="s">
        <v>174</v>
      </c>
      <c r="D33" t="s">
        <v>32</v>
      </c>
      <c r="E33" t="s">
        <v>54</v>
      </c>
      <c r="F33" t="s">
        <v>54</v>
      </c>
      <c r="G33" t="s">
        <v>54</v>
      </c>
      <c r="H33" t="s">
        <v>52</v>
      </c>
      <c r="I33">
        <v>179</v>
      </c>
      <c r="J33">
        <v>180</v>
      </c>
      <c r="K33">
        <v>6</v>
      </c>
      <c r="L33">
        <v>5</v>
      </c>
      <c r="M33">
        <v>20</v>
      </c>
      <c r="N33">
        <v>19.2</v>
      </c>
      <c r="O33">
        <v>359</v>
      </c>
      <c r="P33">
        <v>1</v>
      </c>
      <c r="Q33" t="s">
        <v>368</v>
      </c>
      <c r="R33" t="s">
        <v>117</v>
      </c>
      <c r="S33" t="s">
        <v>120</v>
      </c>
      <c r="T33" t="s">
        <v>120</v>
      </c>
      <c r="U33" t="s">
        <v>367</v>
      </c>
    </row>
    <row r="34" spans="1:21" x14ac:dyDescent="0.3">
      <c r="A34" t="s">
        <v>211</v>
      </c>
      <c r="B34" s="1">
        <v>45767</v>
      </c>
      <c r="C34" t="s">
        <v>182</v>
      </c>
      <c r="D34" t="s">
        <v>44</v>
      </c>
      <c r="E34" t="s">
        <v>10</v>
      </c>
      <c r="F34" t="s">
        <v>10</v>
      </c>
      <c r="G34" t="s">
        <v>44</v>
      </c>
      <c r="H34" t="s">
        <v>50</v>
      </c>
      <c r="I34">
        <v>195</v>
      </c>
      <c r="J34">
        <v>190</v>
      </c>
      <c r="K34">
        <v>4</v>
      </c>
      <c r="L34">
        <v>8</v>
      </c>
      <c r="M34">
        <v>20</v>
      </c>
      <c r="N34">
        <v>20</v>
      </c>
      <c r="O34">
        <v>385</v>
      </c>
      <c r="P34">
        <v>5</v>
      </c>
      <c r="Q34" t="s">
        <v>366</v>
      </c>
      <c r="R34" t="s">
        <v>123</v>
      </c>
      <c r="S34" t="s">
        <v>126</v>
      </c>
      <c r="T34" t="s">
        <v>126</v>
      </c>
      <c r="U34" t="s">
        <v>367</v>
      </c>
    </row>
    <row r="35" spans="1:21" x14ac:dyDescent="0.3">
      <c r="A35" t="s">
        <v>212</v>
      </c>
      <c r="B35" s="1">
        <v>45768</v>
      </c>
      <c r="C35" t="s">
        <v>184</v>
      </c>
      <c r="D35" t="s">
        <v>65</v>
      </c>
      <c r="E35" t="s">
        <v>76</v>
      </c>
      <c r="F35" t="s">
        <v>76</v>
      </c>
      <c r="G35" t="s">
        <v>65</v>
      </c>
      <c r="H35" t="s">
        <v>71</v>
      </c>
      <c r="I35">
        <v>170</v>
      </c>
      <c r="J35">
        <v>169</v>
      </c>
      <c r="K35">
        <v>6</v>
      </c>
      <c r="L35">
        <v>7</v>
      </c>
      <c r="M35">
        <v>20</v>
      </c>
      <c r="N35">
        <v>20</v>
      </c>
      <c r="O35">
        <v>339</v>
      </c>
      <c r="P35">
        <v>1</v>
      </c>
      <c r="Q35" t="s">
        <v>366</v>
      </c>
      <c r="R35" t="s">
        <v>135</v>
      </c>
      <c r="S35" t="s">
        <v>138</v>
      </c>
      <c r="T35" t="s">
        <v>138</v>
      </c>
      <c r="U35" t="s">
        <v>367</v>
      </c>
    </row>
    <row r="36" spans="1:21" x14ac:dyDescent="0.3">
      <c r="A36" t="s">
        <v>213</v>
      </c>
      <c r="B36" s="1">
        <v>45769</v>
      </c>
      <c r="C36" t="s">
        <v>191</v>
      </c>
      <c r="D36" t="s">
        <v>87</v>
      </c>
      <c r="E36" t="s">
        <v>32</v>
      </c>
      <c r="F36" t="s">
        <v>87</v>
      </c>
      <c r="G36" t="s">
        <v>87</v>
      </c>
      <c r="H36" t="s">
        <v>93</v>
      </c>
      <c r="I36">
        <v>182</v>
      </c>
      <c r="J36">
        <v>175</v>
      </c>
      <c r="K36">
        <v>5</v>
      </c>
      <c r="L36">
        <v>9</v>
      </c>
      <c r="M36">
        <v>20</v>
      </c>
      <c r="N36">
        <v>20</v>
      </c>
      <c r="O36">
        <v>357</v>
      </c>
      <c r="P36">
        <v>7</v>
      </c>
      <c r="Q36" t="s">
        <v>366</v>
      </c>
      <c r="R36" t="s">
        <v>147</v>
      </c>
      <c r="S36" t="s">
        <v>150</v>
      </c>
      <c r="T36" t="s">
        <v>150</v>
      </c>
      <c r="U36" t="s">
        <v>367</v>
      </c>
    </row>
    <row r="37" spans="1:21" x14ac:dyDescent="0.3">
      <c r="A37" t="s">
        <v>214</v>
      </c>
      <c r="B37" s="1">
        <v>45770</v>
      </c>
      <c r="C37" t="s">
        <v>178</v>
      </c>
      <c r="D37" t="s">
        <v>54</v>
      </c>
      <c r="E37" t="s">
        <v>65</v>
      </c>
      <c r="F37" t="s">
        <v>65</v>
      </c>
      <c r="G37" t="s">
        <v>54</v>
      </c>
      <c r="H37" t="s">
        <v>55</v>
      </c>
      <c r="I37">
        <v>185</v>
      </c>
      <c r="J37">
        <v>178</v>
      </c>
      <c r="K37">
        <v>7</v>
      </c>
      <c r="L37">
        <v>9</v>
      </c>
      <c r="M37">
        <v>20</v>
      </c>
      <c r="N37">
        <v>20</v>
      </c>
      <c r="O37">
        <v>363</v>
      </c>
      <c r="P37">
        <v>7</v>
      </c>
      <c r="Q37" t="s">
        <v>366</v>
      </c>
      <c r="R37" t="s">
        <v>129</v>
      </c>
      <c r="S37" t="s">
        <v>132</v>
      </c>
      <c r="T37" t="s">
        <v>132</v>
      </c>
      <c r="U37" t="s">
        <v>367</v>
      </c>
    </row>
    <row r="38" spans="1:21" x14ac:dyDescent="0.3">
      <c r="A38" t="s">
        <v>215</v>
      </c>
      <c r="B38" s="1">
        <v>45771</v>
      </c>
      <c r="C38" t="s">
        <v>176</v>
      </c>
      <c r="D38" t="s">
        <v>98</v>
      </c>
      <c r="E38" t="s">
        <v>44</v>
      </c>
      <c r="F38" t="s">
        <v>98</v>
      </c>
      <c r="G38" t="s">
        <v>98</v>
      </c>
      <c r="H38" t="s">
        <v>101</v>
      </c>
      <c r="I38">
        <v>197</v>
      </c>
      <c r="J38">
        <v>196</v>
      </c>
      <c r="K38">
        <v>5</v>
      </c>
      <c r="L38">
        <v>8</v>
      </c>
      <c r="M38">
        <v>20</v>
      </c>
      <c r="N38">
        <v>20</v>
      </c>
      <c r="O38">
        <v>393</v>
      </c>
      <c r="P38">
        <v>1</v>
      </c>
      <c r="Q38" t="s">
        <v>366</v>
      </c>
      <c r="R38" t="s">
        <v>153</v>
      </c>
      <c r="S38" t="s">
        <v>156</v>
      </c>
      <c r="T38" t="s">
        <v>156</v>
      </c>
      <c r="U38" t="s">
        <v>367</v>
      </c>
    </row>
    <row r="39" spans="1:21" x14ac:dyDescent="0.3">
      <c r="A39" t="s">
        <v>216</v>
      </c>
      <c r="B39" s="1">
        <v>45772</v>
      </c>
      <c r="C39" t="s">
        <v>187</v>
      </c>
      <c r="D39" t="s">
        <v>10</v>
      </c>
      <c r="E39" t="s">
        <v>87</v>
      </c>
      <c r="F39" t="s">
        <v>87</v>
      </c>
      <c r="G39" t="s">
        <v>10</v>
      </c>
      <c r="H39" t="s">
        <v>27</v>
      </c>
      <c r="I39">
        <v>176</v>
      </c>
      <c r="J39">
        <v>172</v>
      </c>
      <c r="K39">
        <v>4</v>
      </c>
      <c r="L39">
        <v>8</v>
      </c>
      <c r="M39">
        <v>20</v>
      </c>
      <c r="N39">
        <v>20</v>
      </c>
      <c r="O39">
        <v>348</v>
      </c>
      <c r="P39">
        <v>4</v>
      </c>
      <c r="Q39" t="s">
        <v>366</v>
      </c>
      <c r="R39" t="s">
        <v>111</v>
      </c>
      <c r="S39" t="s">
        <v>114</v>
      </c>
      <c r="T39" t="s">
        <v>114</v>
      </c>
      <c r="U39" t="s">
        <v>367</v>
      </c>
    </row>
    <row r="40" spans="1:21" x14ac:dyDescent="0.3">
      <c r="A40" t="s">
        <v>217</v>
      </c>
      <c r="B40" s="1">
        <v>45773</v>
      </c>
      <c r="C40" t="s">
        <v>180</v>
      </c>
      <c r="D40" t="s">
        <v>76</v>
      </c>
      <c r="E40" t="s">
        <v>98</v>
      </c>
      <c r="F40" t="s">
        <v>98</v>
      </c>
      <c r="G40" t="s">
        <v>76</v>
      </c>
      <c r="H40" t="s">
        <v>80</v>
      </c>
      <c r="I40">
        <v>153</v>
      </c>
      <c r="J40">
        <v>150</v>
      </c>
      <c r="K40">
        <v>8</v>
      </c>
      <c r="L40">
        <v>10</v>
      </c>
      <c r="M40">
        <v>20</v>
      </c>
      <c r="N40">
        <v>19.3</v>
      </c>
      <c r="O40">
        <v>303</v>
      </c>
      <c r="P40">
        <v>3</v>
      </c>
      <c r="Q40" t="s">
        <v>366</v>
      </c>
      <c r="R40" t="s">
        <v>141</v>
      </c>
      <c r="S40" t="s">
        <v>144</v>
      </c>
      <c r="T40" t="s">
        <v>144</v>
      </c>
      <c r="U40" t="s">
        <v>367</v>
      </c>
    </row>
    <row r="41" spans="1:21" x14ac:dyDescent="0.3">
      <c r="A41" t="s">
        <v>218</v>
      </c>
      <c r="B41" s="1">
        <v>45774</v>
      </c>
      <c r="C41" t="s">
        <v>174</v>
      </c>
      <c r="D41" t="s">
        <v>32</v>
      </c>
      <c r="E41" t="s">
        <v>65</v>
      </c>
      <c r="F41" t="s">
        <v>65</v>
      </c>
      <c r="G41" t="s">
        <v>32</v>
      </c>
      <c r="H41" t="s">
        <v>33</v>
      </c>
      <c r="I41">
        <v>163</v>
      </c>
      <c r="J41">
        <v>158</v>
      </c>
      <c r="K41">
        <v>7</v>
      </c>
      <c r="L41">
        <v>8</v>
      </c>
      <c r="M41">
        <v>20</v>
      </c>
      <c r="N41">
        <v>20</v>
      </c>
      <c r="O41">
        <v>321</v>
      </c>
      <c r="P41">
        <v>5</v>
      </c>
      <c r="Q41" t="s">
        <v>366</v>
      </c>
      <c r="R41" t="s">
        <v>117</v>
      </c>
      <c r="S41" t="s">
        <v>120</v>
      </c>
      <c r="T41" t="s">
        <v>120</v>
      </c>
      <c r="U41" t="s">
        <v>367</v>
      </c>
    </row>
    <row r="42" spans="1:21" x14ac:dyDescent="0.3">
      <c r="A42" t="s">
        <v>219</v>
      </c>
      <c r="B42" s="1">
        <v>45775</v>
      </c>
      <c r="C42" t="s">
        <v>182</v>
      </c>
      <c r="D42" t="s">
        <v>44</v>
      </c>
      <c r="E42" t="s">
        <v>54</v>
      </c>
      <c r="F42" t="s">
        <v>54</v>
      </c>
      <c r="G42" t="s">
        <v>44</v>
      </c>
      <c r="H42" t="s">
        <v>42</v>
      </c>
      <c r="I42">
        <v>200</v>
      </c>
      <c r="J42">
        <v>195</v>
      </c>
      <c r="K42">
        <v>5</v>
      </c>
      <c r="L42">
        <v>8</v>
      </c>
      <c r="M42">
        <v>20</v>
      </c>
      <c r="N42">
        <v>20</v>
      </c>
      <c r="O42">
        <v>395</v>
      </c>
      <c r="P42">
        <v>5</v>
      </c>
      <c r="Q42" t="s">
        <v>366</v>
      </c>
      <c r="R42" t="s">
        <v>123</v>
      </c>
      <c r="S42" t="s">
        <v>126</v>
      </c>
      <c r="T42" t="s">
        <v>126</v>
      </c>
      <c r="U42" t="s">
        <v>367</v>
      </c>
    </row>
    <row r="43" spans="1:21" x14ac:dyDescent="0.3">
      <c r="A43" t="s">
        <v>220</v>
      </c>
      <c r="B43" s="1">
        <v>45776</v>
      </c>
      <c r="C43" t="s">
        <v>191</v>
      </c>
      <c r="D43" t="s">
        <v>87</v>
      </c>
      <c r="E43" t="s">
        <v>76</v>
      </c>
      <c r="F43" t="s">
        <v>87</v>
      </c>
      <c r="G43" t="s">
        <v>76</v>
      </c>
      <c r="H43" t="s">
        <v>83</v>
      </c>
      <c r="I43">
        <v>180</v>
      </c>
      <c r="J43">
        <v>181</v>
      </c>
      <c r="K43">
        <v>7</v>
      </c>
      <c r="L43">
        <v>4</v>
      </c>
      <c r="M43">
        <v>20</v>
      </c>
      <c r="N43">
        <v>19.399999999999999</v>
      </c>
      <c r="O43">
        <v>361</v>
      </c>
      <c r="P43">
        <v>1</v>
      </c>
      <c r="Q43" t="s">
        <v>368</v>
      </c>
      <c r="R43" t="s">
        <v>147</v>
      </c>
      <c r="S43" t="s">
        <v>150</v>
      </c>
      <c r="T43" t="s">
        <v>150</v>
      </c>
      <c r="U43" t="s">
        <v>367</v>
      </c>
    </row>
    <row r="44" spans="1:21" x14ac:dyDescent="0.3">
      <c r="A44" t="s">
        <v>221</v>
      </c>
      <c r="B44" s="1">
        <v>45777</v>
      </c>
      <c r="C44" t="s">
        <v>176</v>
      </c>
      <c r="D44" t="s">
        <v>98</v>
      </c>
      <c r="E44" t="s">
        <v>10</v>
      </c>
      <c r="F44" t="s">
        <v>10</v>
      </c>
      <c r="G44" t="s">
        <v>98</v>
      </c>
      <c r="H44" t="s">
        <v>96</v>
      </c>
      <c r="I44">
        <v>174</v>
      </c>
      <c r="J44">
        <v>173</v>
      </c>
      <c r="K44">
        <v>6</v>
      </c>
      <c r="L44">
        <v>7</v>
      </c>
      <c r="M44">
        <v>20</v>
      </c>
      <c r="N44">
        <v>20</v>
      </c>
      <c r="O44">
        <v>347</v>
      </c>
      <c r="P44">
        <v>1</v>
      </c>
      <c r="Q44" t="s">
        <v>366</v>
      </c>
      <c r="R44" t="s">
        <v>153</v>
      </c>
      <c r="S44" t="s">
        <v>156</v>
      </c>
      <c r="T44" t="s">
        <v>156</v>
      </c>
      <c r="U44" t="s">
        <v>367</v>
      </c>
    </row>
    <row r="45" spans="1:21" x14ac:dyDescent="0.3">
      <c r="A45" t="s">
        <v>222</v>
      </c>
      <c r="B45" s="1">
        <v>45778</v>
      </c>
      <c r="C45" t="s">
        <v>184</v>
      </c>
      <c r="D45" t="s">
        <v>65</v>
      </c>
      <c r="E45" t="s">
        <v>32</v>
      </c>
      <c r="F45" t="s">
        <v>32</v>
      </c>
      <c r="G45" t="s">
        <v>65</v>
      </c>
      <c r="H45" t="s">
        <v>63</v>
      </c>
      <c r="I45">
        <v>187</v>
      </c>
      <c r="J45">
        <v>175</v>
      </c>
      <c r="K45">
        <v>4</v>
      </c>
      <c r="L45">
        <v>9</v>
      </c>
      <c r="M45">
        <v>20</v>
      </c>
      <c r="N45">
        <v>20</v>
      </c>
      <c r="O45">
        <v>362</v>
      </c>
      <c r="P45">
        <v>12</v>
      </c>
      <c r="Q45" t="s">
        <v>366</v>
      </c>
      <c r="R45" t="s">
        <v>135</v>
      </c>
      <c r="S45" t="s">
        <v>138</v>
      </c>
      <c r="T45" t="s">
        <v>138</v>
      </c>
      <c r="U45" t="s">
        <v>367</v>
      </c>
    </row>
    <row r="46" spans="1:21" x14ac:dyDescent="0.3">
      <c r="A46" t="s">
        <v>223</v>
      </c>
      <c r="B46" s="1">
        <v>45779</v>
      </c>
      <c r="C46" t="s">
        <v>187</v>
      </c>
      <c r="D46" t="s">
        <v>10</v>
      </c>
      <c r="E46" t="s">
        <v>44</v>
      </c>
      <c r="F46" t="s">
        <v>44</v>
      </c>
      <c r="G46" t="s">
        <v>44</v>
      </c>
      <c r="H46" t="s">
        <v>45</v>
      </c>
      <c r="I46">
        <v>162</v>
      </c>
      <c r="J46">
        <v>165</v>
      </c>
      <c r="K46">
        <v>9</v>
      </c>
      <c r="L46">
        <v>5</v>
      </c>
      <c r="M46">
        <v>20</v>
      </c>
      <c r="N46">
        <v>19.2</v>
      </c>
      <c r="O46">
        <v>327</v>
      </c>
      <c r="P46">
        <v>3</v>
      </c>
      <c r="Q46" t="s">
        <v>368</v>
      </c>
      <c r="R46" t="s">
        <v>111</v>
      </c>
      <c r="S46" t="s">
        <v>114</v>
      </c>
      <c r="T46" t="s">
        <v>114</v>
      </c>
      <c r="U46" t="s">
        <v>367</v>
      </c>
    </row>
    <row r="47" spans="1:21" x14ac:dyDescent="0.3">
      <c r="A47" t="s">
        <v>224</v>
      </c>
      <c r="B47" s="1">
        <v>45780</v>
      </c>
      <c r="C47" t="s">
        <v>178</v>
      </c>
      <c r="D47" t="s">
        <v>54</v>
      </c>
      <c r="E47" t="s">
        <v>76</v>
      </c>
      <c r="F47" t="s">
        <v>76</v>
      </c>
      <c r="G47" t="s">
        <v>54</v>
      </c>
      <c r="H47" t="s">
        <v>52</v>
      </c>
      <c r="I47">
        <v>196</v>
      </c>
      <c r="J47">
        <v>188</v>
      </c>
      <c r="K47">
        <v>3</v>
      </c>
      <c r="L47">
        <v>8</v>
      </c>
      <c r="M47">
        <v>20</v>
      </c>
      <c r="N47">
        <v>20</v>
      </c>
      <c r="O47">
        <v>384</v>
      </c>
      <c r="P47">
        <v>8</v>
      </c>
      <c r="Q47" t="s">
        <v>366</v>
      </c>
      <c r="R47" t="s">
        <v>129</v>
      </c>
      <c r="S47" t="s">
        <v>132</v>
      </c>
      <c r="T47" t="s">
        <v>132</v>
      </c>
      <c r="U47" t="s">
        <v>367</v>
      </c>
    </row>
    <row r="48" spans="1:21" x14ac:dyDescent="0.3">
      <c r="A48" t="s">
        <v>225</v>
      </c>
      <c r="B48" s="1">
        <v>45781</v>
      </c>
      <c r="C48" t="s">
        <v>176</v>
      </c>
      <c r="D48" t="s">
        <v>98</v>
      </c>
      <c r="E48" t="s">
        <v>65</v>
      </c>
      <c r="F48" t="s">
        <v>65</v>
      </c>
      <c r="G48" t="s">
        <v>98</v>
      </c>
      <c r="H48" t="s">
        <v>103</v>
      </c>
      <c r="I48">
        <v>184</v>
      </c>
      <c r="J48">
        <v>183</v>
      </c>
      <c r="K48">
        <v>7</v>
      </c>
      <c r="L48">
        <v>9</v>
      </c>
      <c r="M48">
        <v>20</v>
      </c>
      <c r="N48">
        <v>20</v>
      </c>
      <c r="O48">
        <v>367</v>
      </c>
      <c r="P48">
        <v>1</v>
      </c>
      <c r="Q48" t="s">
        <v>366</v>
      </c>
      <c r="R48" t="s">
        <v>153</v>
      </c>
      <c r="S48" t="s">
        <v>156</v>
      </c>
      <c r="T48" t="s">
        <v>156</v>
      </c>
      <c r="U48" t="s">
        <v>367</v>
      </c>
    </row>
    <row r="49" spans="1:21" x14ac:dyDescent="0.3">
      <c r="A49" t="s">
        <v>226</v>
      </c>
      <c r="B49" s="1">
        <v>45782</v>
      </c>
      <c r="C49" t="s">
        <v>174</v>
      </c>
      <c r="D49" t="s">
        <v>32</v>
      </c>
      <c r="E49" t="s">
        <v>76</v>
      </c>
      <c r="F49" t="s">
        <v>76</v>
      </c>
      <c r="G49" t="s">
        <v>32</v>
      </c>
      <c r="H49" t="s">
        <v>30</v>
      </c>
      <c r="I49">
        <v>192</v>
      </c>
      <c r="J49">
        <v>174</v>
      </c>
      <c r="K49">
        <v>4</v>
      </c>
      <c r="L49">
        <v>8</v>
      </c>
      <c r="M49">
        <v>20</v>
      </c>
      <c r="N49">
        <v>20</v>
      </c>
      <c r="O49">
        <v>366</v>
      </c>
      <c r="P49">
        <v>18</v>
      </c>
      <c r="Q49" t="s">
        <v>366</v>
      </c>
      <c r="R49" t="s">
        <v>117</v>
      </c>
      <c r="S49" t="s">
        <v>120</v>
      </c>
      <c r="T49" t="s">
        <v>120</v>
      </c>
      <c r="U49" t="s">
        <v>367</v>
      </c>
    </row>
    <row r="50" spans="1:21" x14ac:dyDescent="0.3">
      <c r="A50" t="s">
        <v>227</v>
      </c>
      <c r="B50" s="1">
        <v>45783</v>
      </c>
      <c r="C50" t="s">
        <v>191</v>
      </c>
      <c r="D50" t="s">
        <v>87</v>
      </c>
      <c r="E50" t="s">
        <v>54</v>
      </c>
      <c r="F50" t="s">
        <v>87</v>
      </c>
      <c r="G50" t="s">
        <v>54</v>
      </c>
      <c r="H50" t="s">
        <v>55</v>
      </c>
      <c r="I50">
        <v>208</v>
      </c>
      <c r="J50">
        <v>198</v>
      </c>
      <c r="K50">
        <v>6</v>
      </c>
      <c r="L50">
        <v>7</v>
      </c>
      <c r="M50">
        <v>20</v>
      </c>
      <c r="N50">
        <v>20</v>
      </c>
      <c r="O50">
        <v>406</v>
      </c>
      <c r="P50">
        <v>10</v>
      </c>
      <c r="Q50" t="s">
        <v>366</v>
      </c>
      <c r="R50" t="s">
        <v>147</v>
      </c>
      <c r="S50" t="s">
        <v>150</v>
      </c>
      <c r="T50" t="s">
        <v>150</v>
      </c>
      <c r="U50" t="s">
        <v>367</v>
      </c>
    </row>
    <row r="51" spans="1:21" x14ac:dyDescent="0.3">
      <c r="A51" t="s">
        <v>228</v>
      </c>
      <c r="B51" s="1">
        <v>45784</v>
      </c>
      <c r="C51" t="s">
        <v>182</v>
      </c>
      <c r="D51" t="s">
        <v>44</v>
      </c>
      <c r="E51" t="s">
        <v>10</v>
      </c>
      <c r="F51" t="s">
        <v>10</v>
      </c>
      <c r="G51" t="s">
        <v>76</v>
      </c>
      <c r="H51" t="s">
        <v>74</v>
      </c>
      <c r="I51">
        <v>193</v>
      </c>
      <c r="J51">
        <v>165</v>
      </c>
      <c r="K51">
        <v>5</v>
      </c>
      <c r="L51">
        <v>10</v>
      </c>
      <c r="M51">
        <v>20</v>
      </c>
      <c r="N51">
        <v>17.2</v>
      </c>
      <c r="O51">
        <v>358</v>
      </c>
      <c r="P51">
        <v>28</v>
      </c>
      <c r="Q51" t="s">
        <v>366</v>
      </c>
      <c r="R51" t="s">
        <v>123</v>
      </c>
      <c r="S51" t="s">
        <v>126</v>
      </c>
      <c r="T51" t="s">
        <v>126</v>
      </c>
      <c r="U51" t="s">
        <v>367</v>
      </c>
    </row>
    <row r="52" spans="1:21" x14ac:dyDescent="0.3">
      <c r="A52" t="s">
        <v>229</v>
      </c>
      <c r="B52" s="1">
        <v>45785</v>
      </c>
      <c r="C52" t="s">
        <v>184</v>
      </c>
      <c r="D52" t="s">
        <v>65</v>
      </c>
      <c r="E52" t="s">
        <v>44</v>
      </c>
      <c r="F52" t="s">
        <v>44</v>
      </c>
      <c r="G52" t="s">
        <v>76</v>
      </c>
      <c r="H52" t="s">
        <v>83</v>
      </c>
      <c r="I52">
        <v>181</v>
      </c>
      <c r="J52">
        <v>185</v>
      </c>
      <c r="K52">
        <v>5</v>
      </c>
      <c r="L52">
        <v>4</v>
      </c>
      <c r="M52">
        <v>20</v>
      </c>
      <c r="N52">
        <v>19.3</v>
      </c>
      <c r="O52">
        <v>366</v>
      </c>
      <c r="P52">
        <v>4</v>
      </c>
      <c r="Q52" t="s">
        <v>368</v>
      </c>
      <c r="R52" t="s">
        <v>135</v>
      </c>
      <c r="S52" t="s">
        <v>138</v>
      </c>
      <c r="T52" t="s">
        <v>138</v>
      </c>
      <c r="U52" t="s">
        <v>367</v>
      </c>
    </row>
    <row r="53" spans="1:21" x14ac:dyDescent="0.3">
      <c r="A53" t="s">
        <v>230</v>
      </c>
      <c r="B53" s="1">
        <v>45786</v>
      </c>
      <c r="C53" t="s">
        <v>180</v>
      </c>
      <c r="D53" t="s">
        <v>76</v>
      </c>
      <c r="E53" t="s">
        <v>32</v>
      </c>
      <c r="F53" t="s">
        <v>65</v>
      </c>
      <c r="G53" t="s">
        <v>54</v>
      </c>
      <c r="H53" t="s">
        <v>58</v>
      </c>
      <c r="I53">
        <v>164</v>
      </c>
      <c r="J53">
        <v>165</v>
      </c>
      <c r="K53">
        <v>8</v>
      </c>
      <c r="L53">
        <v>3</v>
      </c>
      <c r="M53">
        <v>20</v>
      </c>
      <c r="N53">
        <v>18.399999999999999</v>
      </c>
      <c r="O53">
        <v>329</v>
      </c>
      <c r="P53">
        <v>1</v>
      </c>
      <c r="Q53" t="s">
        <v>368</v>
      </c>
      <c r="R53" t="s">
        <v>141</v>
      </c>
      <c r="S53" t="s">
        <v>144</v>
      </c>
      <c r="T53" t="s">
        <v>144</v>
      </c>
      <c r="U53" t="s">
        <v>367</v>
      </c>
    </row>
    <row r="54" spans="1:21" x14ac:dyDescent="0.3">
      <c r="A54" t="s">
        <v>231</v>
      </c>
      <c r="B54" s="1">
        <v>45787</v>
      </c>
      <c r="C54" t="s">
        <v>187</v>
      </c>
      <c r="D54" t="s">
        <v>10</v>
      </c>
      <c r="E54" t="s">
        <v>32</v>
      </c>
      <c r="F54" t="s">
        <v>87</v>
      </c>
      <c r="G54" t="s">
        <v>32</v>
      </c>
      <c r="H54" t="s">
        <v>33</v>
      </c>
      <c r="I54">
        <v>178</v>
      </c>
      <c r="J54">
        <v>169</v>
      </c>
      <c r="K54">
        <v>6</v>
      </c>
      <c r="L54">
        <v>9</v>
      </c>
      <c r="M54">
        <v>20</v>
      </c>
      <c r="N54">
        <v>20</v>
      </c>
      <c r="O54">
        <v>347</v>
      </c>
      <c r="P54">
        <v>9</v>
      </c>
      <c r="Q54" t="s">
        <v>366</v>
      </c>
      <c r="R54" t="s">
        <v>111</v>
      </c>
      <c r="S54" t="s">
        <v>114</v>
      </c>
      <c r="T54" t="s">
        <v>114</v>
      </c>
      <c r="U54" t="s">
        <v>367</v>
      </c>
    </row>
    <row r="55" spans="1:21" x14ac:dyDescent="0.3">
      <c r="A55" t="s">
        <v>232</v>
      </c>
      <c r="B55" s="1">
        <v>45788</v>
      </c>
      <c r="C55" t="s">
        <v>178</v>
      </c>
      <c r="D55" t="s">
        <v>54</v>
      </c>
      <c r="E55" t="s">
        <v>98</v>
      </c>
      <c r="F55" t="s">
        <v>10</v>
      </c>
      <c r="G55" t="s">
        <v>98</v>
      </c>
      <c r="H55" t="s">
        <v>101</v>
      </c>
      <c r="I55">
        <v>154</v>
      </c>
      <c r="J55">
        <v>155</v>
      </c>
      <c r="K55">
        <v>10</v>
      </c>
      <c r="L55">
        <v>3</v>
      </c>
      <c r="M55">
        <v>19.5</v>
      </c>
      <c r="N55">
        <v>17</v>
      </c>
      <c r="O55">
        <v>309</v>
      </c>
      <c r="P55">
        <v>1</v>
      </c>
      <c r="Q55" t="s">
        <v>368</v>
      </c>
      <c r="R55" t="s">
        <v>129</v>
      </c>
      <c r="S55" t="s">
        <v>132</v>
      </c>
      <c r="T55" t="s">
        <v>132</v>
      </c>
      <c r="U55" t="s">
        <v>367</v>
      </c>
    </row>
    <row r="56" spans="1:21" x14ac:dyDescent="0.3">
      <c r="A56" t="s">
        <v>233</v>
      </c>
      <c r="B56" s="1">
        <v>45789</v>
      </c>
      <c r="C56" t="s">
        <v>176</v>
      </c>
      <c r="D56" t="s">
        <v>98</v>
      </c>
      <c r="E56" t="s">
        <v>44</v>
      </c>
      <c r="F56" t="s">
        <v>44</v>
      </c>
      <c r="G56" t="s">
        <v>54</v>
      </c>
      <c r="H56" t="s">
        <v>60</v>
      </c>
      <c r="I56">
        <v>171</v>
      </c>
      <c r="J56">
        <v>156</v>
      </c>
      <c r="K56">
        <v>5</v>
      </c>
      <c r="L56">
        <v>9</v>
      </c>
      <c r="M56">
        <v>20</v>
      </c>
      <c r="N56">
        <v>18.3</v>
      </c>
      <c r="O56">
        <v>327</v>
      </c>
      <c r="P56">
        <v>15</v>
      </c>
      <c r="Q56" t="s">
        <v>366</v>
      </c>
      <c r="R56" t="s">
        <v>153</v>
      </c>
      <c r="S56" t="s">
        <v>156</v>
      </c>
      <c r="T56" t="s">
        <v>156</v>
      </c>
      <c r="U56" t="s">
        <v>367</v>
      </c>
    </row>
    <row r="57" spans="1:21" x14ac:dyDescent="0.3">
      <c r="A57" t="s">
        <v>234</v>
      </c>
      <c r="B57" s="1">
        <v>45790</v>
      </c>
      <c r="C57" t="s">
        <v>191</v>
      </c>
      <c r="D57" t="s">
        <v>87</v>
      </c>
      <c r="E57" t="s">
        <v>65</v>
      </c>
      <c r="F57" t="s">
        <v>65</v>
      </c>
      <c r="G57" t="s">
        <v>65</v>
      </c>
      <c r="H57" t="s">
        <v>66</v>
      </c>
      <c r="I57">
        <v>149</v>
      </c>
      <c r="J57">
        <v>150</v>
      </c>
      <c r="K57">
        <v>9</v>
      </c>
      <c r="L57">
        <v>4</v>
      </c>
      <c r="M57">
        <v>20</v>
      </c>
      <c r="N57">
        <v>18.100000000000001</v>
      </c>
      <c r="O57">
        <v>299</v>
      </c>
      <c r="P57">
        <v>1</v>
      </c>
      <c r="Q57" t="s">
        <v>368</v>
      </c>
      <c r="R57" t="s">
        <v>147</v>
      </c>
      <c r="S57" t="s">
        <v>150</v>
      </c>
      <c r="T57" t="s">
        <v>150</v>
      </c>
      <c r="U57" t="s">
        <v>367</v>
      </c>
    </row>
    <row r="58" spans="1:21" x14ac:dyDescent="0.3">
      <c r="A58" t="s">
        <v>235</v>
      </c>
      <c r="B58" s="1">
        <v>45791</v>
      </c>
      <c r="C58" t="s">
        <v>182</v>
      </c>
      <c r="D58" t="s">
        <v>44</v>
      </c>
      <c r="E58" t="s">
        <v>76</v>
      </c>
      <c r="F58" t="s">
        <v>10</v>
      </c>
      <c r="G58" t="s">
        <v>87</v>
      </c>
      <c r="H58" t="s">
        <v>85</v>
      </c>
      <c r="I58">
        <v>177</v>
      </c>
      <c r="J58">
        <v>152</v>
      </c>
      <c r="K58">
        <v>7</v>
      </c>
      <c r="L58">
        <v>8</v>
      </c>
      <c r="M58">
        <v>20</v>
      </c>
      <c r="N58">
        <v>18.399999999999999</v>
      </c>
      <c r="O58">
        <v>329</v>
      </c>
      <c r="P58">
        <v>25</v>
      </c>
      <c r="Q58" t="s">
        <v>366</v>
      </c>
      <c r="R58" t="s">
        <v>123</v>
      </c>
      <c r="S58" t="s">
        <v>126</v>
      </c>
      <c r="T58" t="s">
        <v>126</v>
      </c>
      <c r="U58" t="s">
        <v>367</v>
      </c>
    </row>
    <row r="59" spans="1:21" x14ac:dyDescent="0.3">
      <c r="A59" t="s">
        <v>236</v>
      </c>
      <c r="B59" s="1">
        <v>45792</v>
      </c>
      <c r="C59" t="s">
        <v>187</v>
      </c>
      <c r="D59" t="s">
        <v>10</v>
      </c>
      <c r="E59" t="s">
        <v>54</v>
      </c>
      <c r="F59" t="s">
        <v>32</v>
      </c>
      <c r="G59" t="s">
        <v>32</v>
      </c>
      <c r="H59" t="s">
        <v>36</v>
      </c>
      <c r="I59">
        <v>161</v>
      </c>
      <c r="J59">
        <v>162</v>
      </c>
      <c r="K59">
        <v>8</v>
      </c>
      <c r="L59">
        <v>6</v>
      </c>
      <c r="M59">
        <v>20</v>
      </c>
      <c r="N59">
        <v>19.2</v>
      </c>
      <c r="O59">
        <v>323</v>
      </c>
      <c r="P59">
        <v>1</v>
      </c>
      <c r="Q59" t="s">
        <v>368</v>
      </c>
      <c r="R59" t="s">
        <v>111</v>
      </c>
      <c r="S59" t="s">
        <v>114</v>
      </c>
      <c r="T59" t="s">
        <v>114</v>
      </c>
      <c r="U59" t="s">
        <v>367</v>
      </c>
    </row>
    <row r="60" spans="1:21" x14ac:dyDescent="0.3">
      <c r="A60" t="s">
        <v>237</v>
      </c>
      <c r="B60" s="1">
        <v>45793</v>
      </c>
      <c r="C60" t="s">
        <v>174</v>
      </c>
      <c r="D60" t="s">
        <v>32</v>
      </c>
      <c r="E60" t="s">
        <v>98</v>
      </c>
      <c r="F60" t="s">
        <v>65</v>
      </c>
      <c r="G60" t="s">
        <v>44</v>
      </c>
      <c r="H60" t="s">
        <v>42</v>
      </c>
      <c r="I60">
        <v>198</v>
      </c>
      <c r="J60">
        <v>187</v>
      </c>
      <c r="K60">
        <v>3</v>
      </c>
      <c r="L60">
        <v>8</v>
      </c>
      <c r="M60">
        <v>20</v>
      </c>
      <c r="N60">
        <v>20</v>
      </c>
      <c r="O60">
        <v>385</v>
      </c>
      <c r="P60">
        <v>11</v>
      </c>
      <c r="Q60" t="s">
        <v>366</v>
      </c>
      <c r="R60" t="s">
        <v>117</v>
      </c>
      <c r="S60" t="s">
        <v>120</v>
      </c>
      <c r="T60" t="s">
        <v>120</v>
      </c>
      <c r="U60" t="s">
        <v>367</v>
      </c>
    </row>
    <row r="61" spans="1:21" x14ac:dyDescent="0.3">
      <c r="A61" t="s">
        <v>238</v>
      </c>
      <c r="B61" s="1">
        <v>45794</v>
      </c>
      <c r="C61" t="s">
        <v>184</v>
      </c>
      <c r="D61" t="s">
        <v>65</v>
      </c>
      <c r="E61" t="s">
        <v>76</v>
      </c>
      <c r="F61" t="s">
        <v>76</v>
      </c>
      <c r="G61" t="s">
        <v>10</v>
      </c>
      <c r="H61" t="s">
        <v>8</v>
      </c>
      <c r="I61">
        <v>188</v>
      </c>
      <c r="J61">
        <v>186</v>
      </c>
      <c r="K61">
        <v>6</v>
      </c>
      <c r="L61">
        <v>8</v>
      </c>
      <c r="M61">
        <v>20</v>
      </c>
      <c r="N61">
        <v>20</v>
      </c>
      <c r="O61">
        <v>374</v>
      </c>
      <c r="P61">
        <v>2</v>
      </c>
      <c r="Q61" t="s">
        <v>366</v>
      </c>
      <c r="R61" t="s">
        <v>135</v>
      </c>
      <c r="S61" t="s">
        <v>138</v>
      </c>
      <c r="T61" t="s">
        <v>138</v>
      </c>
      <c r="U61" t="s">
        <v>367</v>
      </c>
    </row>
    <row r="62" spans="1:21" x14ac:dyDescent="0.3">
      <c r="A62" t="s">
        <v>239</v>
      </c>
      <c r="B62" s="1">
        <v>45795</v>
      </c>
      <c r="C62" t="s">
        <v>178</v>
      </c>
      <c r="D62" t="s">
        <v>54</v>
      </c>
      <c r="E62" t="s">
        <v>87</v>
      </c>
      <c r="F62" t="s">
        <v>98</v>
      </c>
      <c r="G62" t="s">
        <v>98</v>
      </c>
      <c r="H62" t="s">
        <v>96</v>
      </c>
      <c r="I62">
        <v>169</v>
      </c>
      <c r="J62">
        <v>170</v>
      </c>
      <c r="K62">
        <v>8</v>
      </c>
      <c r="L62">
        <v>4</v>
      </c>
      <c r="M62">
        <v>20</v>
      </c>
      <c r="N62">
        <v>19.100000000000001</v>
      </c>
      <c r="O62">
        <v>339</v>
      </c>
      <c r="P62">
        <v>1</v>
      </c>
      <c r="Q62" t="s">
        <v>368</v>
      </c>
      <c r="R62" t="s">
        <v>129</v>
      </c>
      <c r="S62" t="s">
        <v>132</v>
      </c>
      <c r="T62" t="s">
        <v>132</v>
      </c>
      <c r="U62" t="s">
        <v>367</v>
      </c>
    </row>
    <row r="63" spans="1:21" x14ac:dyDescent="0.3">
      <c r="A63" t="s">
        <v>240</v>
      </c>
      <c r="B63" s="1">
        <v>45796</v>
      </c>
      <c r="C63" t="s">
        <v>180</v>
      </c>
      <c r="D63" t="s">
        <v>76</v>
      </c>
      <c r="E63" t="s">
        <v>10</v>
      </c>
      <c r="F63" t="s">
        <v>65</v>
      </c>
      <c r="G63" t="s">
        <v>87</v>
      </c>
      <c r="H63" t="s">
        <v>88</v>
      </c>
      <c r="I63">
        <v>155</v>
      </c>
      <c r="J63">
        <v>156</v>
      </c>
      <c r="K63">
        <v>10</v>
      </c>
      <c r="L63">
        <v>6</v>
      </c>
      <c r="M63">
        <v>20</v>
      </c>
      <c r="N63">
        <v>19.399999999999999</v>
      </c>
      <c r="O63">
        <v>311</v>
      </c>
      <c r="P63">
        <v>1</v>
      </c>
      <c r="Q63" t="s">
        <v>368</v>
      </c>
      <c r="R63" t="s">
        <v>141</v>
      </c>
      <c r="S63" t="s">
        <v>144</v>
      </c>
      <c r="T63" t="s">
        <v>144</v>
      </c>
      <c r="U63" t="s">
        <v>367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8C14-1D29-48A4-825E-02FEE8C2DA07}">
  <dimension ref="A1:O29"/>
  <sheetViews>
    <sheetView zoomScaleNormal="100" workbookViewId="0">
      <selection activeCell="P2" sqref="P2"/>
    </sheetView>
  </sheetViews>
  <sheetFormatPr defaultRowHeight="14.4" x14ac:dyDescent="0.3"/>
  <cols>
    <col min="1" max="1" width="22.44140625" bestFit="1" customWidth="1"/>
    <col min="2" max="2" width="9.6640625" bestFit="1" customWidth="1"/>
    <col min="3" max="3" width="16" bestFit="1" customWidth="1"/>
    <col min="4" max="4" width="11.88671875" bestFit="1" customWidth="1"/>
    <col min="5" max="5" width="9.6640625" bestFit="1" customWidth="1"/>
    <col min="6" max="9" width="3.88671875" bestFit="1" customWidth="1"/>
    <col min="10" max="10" width="7" bestFit="1" customWidth="1"/>
    <col min="11" max="11" width="22.44140625" bestFit="1" customWidth="1"/>
    <col min="12" max="12" width="16" bestFit="1" customWidth="1"/>
    <col min="13" max="13" width="5.44140625" bestFit="1" customWidth="1"/>
    <col min="14" max="14" width="12.44140625" bestFit="1" customWidth="1"/>
    <col min="15" max="15" width="16" bestFit="1" customWidth="1"/>
    <col min="16" max="16" width="12.44140625" bestFit="1" customWidth="1"/>
    <col min="17" max="17" width="10.5546875" bestFit="1" customWidth="1"/>
    <col min="18" max="61" width="5.44140625" bestFit="1" customWidth="1"/>
    <col min="62" max="62" width="7" bestFit="1" customWidth="1"/>
    <col min="63" max="63" width="10.5546875" bestFit="1" customWidth="1"/>
  </cols>
  <sheetData>
    <row r="1" spans="1:15" x14ac:dyDescent="0.3">
      <c r="N1" s="11" t="s">
        <v>105</v>
      </c>
      <c r="O1" t="s" vm="1">
        <v>377</v>
      </c>
    </row>
    <row r="3" spans="1:15" x14ac:dyDescent="0.3">
      <c r="A3" s="11" t="s">
        <v>375</v>
      </c>
      <c r="B3" t="s">
        <v>341</v>
      </c>
      <c r="C3" t="s">
        <v>342</v>
      </c>
      <c r="D3" t="s">
        <v>343</v>
      </c>
      <c r="E3" t="s">
        <v>344</v>
      </c>
      <c r="K3" s="11" t="s">
        <v>375</v>
      </c>
      <c r="L3" t="s">
        <v>342</v>
      </c>
      <c r="N3" s="11" t="s">
        <v>338</v>
      </c>
      <c r="O3" t="s">
        <v>342</v>
      </c>
    </row>
    <row r="4" spans="1:15" x14ac:dyDescent="0.3">
      <c r="A4" s="12" t="s">
        <v>129</v>
      </c>
      <c r="B4" s="25">
        <v>8</v>
      </c>
      <c r="C4" s="25">
        <v>2788</v>
      </c>
      <c r="D4" s="13">
        <v>107</v>
      </c>
      <c r="E4" s="13">
        <v>4</v>
      </c>
      <c r="K4" s="12" t="s">
        <v>129</v>
      </c>
      <c r="L4" s="25">
        <v>2788</v>
      </c>
      <c r="N4" s="12" t="s">
        <v>366</v>
      </c>
      <c r="O4" s="25">
        <v>1480</v>
      </c>
    </row>
    <row r="5" spans="1:15" x14ac:dyDescent="0.3">
      <c r="A5" s="12" t="s">
        <v>339</v>
      </c>
      <c r="B5" s="25"/>
      <c r="C5" s="25"/>
      <c r="D5" s="13"/>
      <c r="E5" s="13">
        <v>0</v>
      </c>
      <c r="K5" s="12" t="s">
        <v>340</v>
      </c>
      <c r="L5" s="25">
        <v>2788</v>
      </c>
      <c r="N5" s="12" t="s">
        <v>368</v>
      </c>
      <c r="O5" s="25">
        <v>1308</v>
      </c>
    </row>
    <row r="6" spans="1:15" x14ac:dyDescent="0.3">
      <c r="A6" s="12" t="s">
        <v>340</v>
      </c>
      <c r="B6" s="25">
        <v>8</v>
      </c>
      <c r="C6" s="25">
        <v>2788</v>
      </c>
      <c r="D6" s="13">
        <v>107</v>
      </c>
      <c r="E6" s="13">
        <v>0</v>
      </c>
      <c r="N6" s="12" t="s">
        <v>340</v>
      </c>
      <c r="O6" s="25">
        <v>2788</v>
      </c>
    </row>
    <row r="9" spans="1:15" x14ac:dyDescent="0.3">
      <c r="H9">
        <f>COUNTA(A4:A12)</f>
        <v>3</v>
      </c>
    </row>
    <row r="16" spans="1:15" x14ac:dyDescent="0.3">
      <c r="A16" s="11" t="s">
        <v>375</v>
      </c>
      <c r="B16" t="s">
        <v>344</v>
      </c>
    </row>
    <row r="17" spans="1:2" x14ac:dyDescent="0.3">
      <c r="A17" s="12" t="s">
        <v>129</v>
      </c>
      <c r="B17" s="13">
        <v>4</v>
      </c>
    </row>
    <row r="18" spans="1:2" x14ac:dyDescent="0.3">
      <c r="A18" s="12" t="s">
        <v>339</v>
      </c>
      <c r="B18" s="13">
        <v>0</v>
      </c>
    </row>
    <row r="19" spans="1:2" x14ac:dyDescent="0.3">
      <c r="A19" s="12" t="s">
        <v>340</v>
      </c>
      <c r="B19" s="13">
        <v>0</v>
      </c>
    </row>
    <row r="27" spans="1:2" x14ac:dyDescent="0.3">
      <c r="A27" s="11" t="s">
        <v>375</v>
      </c>
      <c r="B27" t="s">
        <v>376</v>
      </c>
    </row>
    <row r="28" spans="1:2" x14ac:dyDescent="0.3">
      <c r="A28" s="12" t="s">
        <v>132</v>
      </c>
      <c r="B28" s="25">
        <v>8</v>
      </c>
    </row>
    <row r="29" spans="1:2" x14ac:dyDescent="0.3">
      <c r="A29" s="12" t="s">
        <v>340</v>
      </c>
      <c r="B29" s="25">
        <v>8</v>
      </c>
    </row>
  </sheetData>
  <pageMargins left="0.7" right="0.7" top="0.75" bottom="0.75" header="0.3" footer="0.3"/>
  <pageSetup orientation="portrait" r:id="rId6"/>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0002-3CC6-49B4-BA58-5B74288E29C8}">
  <dimension ref="A3:J122"/>
  <sheetViews>
    <sheetView topLeftCell="A98" workbookViewId="0">
      <selection activeCell="I99" sqref="I99"/>
    </sheetView>
  </sheetViews>
  <sheetFormatPr defaultRowHeight="14.4" x14ac:dyDescent="0.3"/>
  <cols>
    <col min="1" max="1" width="18.21875" bestFit="1" customWidth="1"/>
    <col min="2" max="2" width="14.6640625" bestFit="1" customWidth="1"/>
    <col min="3" max="3" width="16.6640625" bestFit="1" customWidth="1"/>
    <col min="4" max="4" width="12.21875" bestFit="1" customWidth="1"/>
    <col min="5" max="5" width="14.33203125" bestFit="1" customWidth="1"/>
    <col min="6" max="6" width="8.88671875" bestFit="1" customWidth="1"/>
    <col min="7" max="7" width="10.5546875" bestFit="1" customWidth="1"/>
    <col min="9" max="9" width="18.21875" bestFit="1" customWidth="1"/>
    <col min="10" max="10" width="10.21875" bestFit="1" customWidth="1"/>
    <col min="11" max="11" width="16.88671875" bestFit="1" customWidth="1"/>
    <col min="12" max="12" width="23.88671875" bestFit="1" customWidth="1"/>
    <col min="13" max="13" width="18.109375" bestFit="1" customWidth="1"/>
    <col min="14" max="14" width="17.88671875" bestFit="1" customWidth="1"/>
    <col min="15" max="15" width="19.109375" bestFit="1" customWidth="1"/>
    <col min="16" max="16" width="29.88671875" bestFit="1" customWidth="1"/>
    <col min="17" max="17" width="23.88671875" bestFit="1" customWidth="1"/>
    <col min="18" max="18" width="7" bestFit="1" customWidth="1"/>
    <col min="19" max="19" width="10.5546875" bestFit="1" customWidth="1"/>
    <col min="20" max="20" width="16.88671875" bestFit="1" customWidth="1"/>
    <col min="21" max="21" width="23.88671875" bestFit="1" customWidth="1"/>
    <col min="22" max="22" width="18.109375" bestFit="1" customWidth="1"/>
    <col min="23" max="23" width="17.88671875" bestFit="1" customWidth="1"/>
    <col min="24" max="24" width="19.109375" bestFit="1" customWidth="1"/>
    <col min="25" max="25" width="29.88671875" bestFit="1" customWidth="1"/>
    <col min="26" max="26" width="23.88671875" bestFit="1" customWidth="1"/>
    <col min="27" max="27" width="7" bestFit="1" customWidth="1"/>
    <col min="28" max="28" width="23.21875" bestFit="1" customWidth="1"/>
    <col min="29" max="29" width="16.88671875" bestFit="1" customWidth="1"/>
    <col min="30" max="30" width="23.88671875" bestFit="1" customWidth="1"/>
    <col min="31" max="31" width="18.109375" bestFit="1" customWidth="1"/>
    <col min="32" max="32" width="17.88671875" bestFit="1" customWidth="1"/>
    <col min="33" max="33" width="19.109375" bestFit="1" customWidth="1"/>
    <col min="34" max="34" width="29.88671875" bestFit="1" customWidth="1"/>
    <col min="35" max="35" width="23.88671875" bestFit="1" customWidth="1"/>
    <col min="36" max="36" width="7" bestFit="1" customWidth="1"/>
    <col min="37" max="37" width="23.21875" bestFit="1" customWidth="1"/>
    <col min="38" max="38" width="16.88671875" bestFit="1" customWidth="1"/>
    <col min="39" max="39" width="23.88671875" bestFit="1" customWidth="1"/>
    <col min="40" max="40" width="18.109375" bestFit="1" customWidth="1"/>
    <col min="41" max="41" width="17.88671875" bestFit="1" customWidth="1"/>
    <col min="42" max="42" width="19.109375" bestFit="1" customWidth="1"/>
    <col min="43" max="43" width="29.88671875" bestFit="1" customWidth="1"/>
    <col min="44" max="44" width="23.88671875" bestFit="1" customWidth="1"/>
    <col min="45" max="45" width="7" bestFit="1" customWidth="1"/>
    <col min="46" max="46" width="23.21875" bestFit="1" customWidth="1"/>
    <col min="47" max="47" width="16.88671875" bestFit="1" customWidth="1"/>
    <col min="48" max="48" width="23.88671875" bestFit="1" customWidth="1"/>
    <col min="49" max="49" width="18.109375" bestFit="1" customWidth="1"/>
    <col min="50" max="50" width="17.88671875" bestFit="1" customWidth="1"/>
    <col min="51" max="51" width="19.109375" bestFit="1" customWidth="1"/>
    <col min="52" max="52" width="29.88671875" bestFit="1" customWidth="1"/>
    <col min="53" max="53" width="23.88671875" bestFit="1" customWidth="1"/>
    <col min="54" max="54" width="7" bestFit="1" customWidth="1"/>
    <col min="55" max="55" width="23.21875" bestFit="1" customWidth="1"/>
    <col min="56" max="56" width="16.88671875" bestFit="1" customWidth="1"/>
    <col min="57" max="57" width="23.88671875" bestFit="1" customWidth="1"/>
    <col min="58" max="58" width="18.109375" bestFit="1" customWidth="1"/>
    <col min="59" max="59" width="17.88671875" bestFit="1" customWidth="1"/>
    <col min="60" max="60" width="19.109375" bestFit="1" customWidth="1"/>
    <col min="61" max="61" width="29.88671875" bestFit="1" customWidth="1"/>
    <col min="62" max="62" width="23.88671875" bestFit="1" customWidth="1"/>
    <col min="63" max="63" width="8" bestFit="1" customWidth="1"/>
    <col min="64" max="64" width="14" bestFit="1" customWidth="1"/>
    <col min="65" max="65" width="15.109375" bestFit="1" customWidth="1"/>
    <col min="66" max="66" width="16.77734375" bestFit="1" customWidth="1"/>
    <col min="67" max="67" width="18.88671875" bestFit="1" customWidth="1"/>
    <col min="68" max="68" width="13.44140625" bestFit="1" customWidth="1"/>
    <col min="69" max="69" width="15.109375" bestFit="1" customWidth="1"/>
  </cols>
  <sheetData>
    <row r="3" spans="1:10" x14ac:dyDescent="0.3">
      <c r="A3" s="11" t="s">
        <v>370</v>
      </c>
      <c r="B3" t="s">
        <v>371</v>
      </c>
      <c r="C3" t="s">
        <v>372</v>
      </c>
      <c r="D3" t="s">
        <v>373</v>
      </c>
      <c r="E3" t="s">
        <v>255</v>
      </c>
      <c r="F3" t="s">
        <v>374</v>
      </c>
      <c r="G3" t="s">
        <v>253</v>
      </c>
      <c r="I3" s="11" t="s">
        <v>385</v>
      </c>
      <c r="J3" t="s">
        <v>384</v>
      </c>
    </row>
    <row r="4" spans="1:10" x14ac:dyDescent="0.3">
      <c r="A4" s="12" t="s">
        <v>97</v>
      </c>
      <c r="B4" s="25"/>
      <c r="C4" s="25"/>
      <c r="D4" s="25"/>
      <c r="E4" s="25"/>
      <c r="F4" s="25"/>
      <c r="G4" s="25"/>
      <c r="I4" s="12" t="s">
        <v>97</v>
      </c>
      <c r="J4" s="13">
        <v>130</v>
      </c>
    </row>
    <row r="5" spans="1:10" x14ac:dyDescent="0.3">
      <c r="A5" s="15" t="s">
        <v>129</v>
      </c>
      <c r="B5" s="25"/>
      <c r="C5" s="25"/>
      <c r="D5" s="25"/>
      <c r="E5" s="25"/>
      <c r="F5" s="25"/>
      <c r="G5" s="25"/>
      <c r="I5" s="12" t="s">
        <v>56</v>
      </c>
      <c r="J5" s="13">
        <v>124</v>
      </c>
    </row>
    <row r="6" spans="1:10" x14ac:dyDescent="0.3">
      <c r="A6" s="16" t="s">
        <v>11</v>
      </c>
      <c r="B6" s="25">
        <v>130</v>
      </c>
      <c r="C6" s="25">
        <v>80</v>
      </c>
      <c r="D6" s="25">
        <v>0</v>
      </c>
      <c r="E6" s="25">
        <v>0</v>
      </c>
      <c r="F6" s="25">
        <v>0</v>
      </c>
      <c r="G6" s="25">
        <v>325</v>
      </c>
      <c r="I6" s="12" t="s">
        <v>89</v>
      </c>
      <c r="J6" s="13">
        <v>0</v>
      </c>
    </row>
    <row r="7" spans="1:10" x14ac:dyDescent="0.3">
      <c r="A7" s="12" t="s">
        <v>56</v>
      </c>
      <c r="B7" s="25"/>
      <c r="C7" s="25"/>
      <c r="D7" s="25"/>
      <c r="E7" s="25"/>
      <c r="F7" s="25"/>
      <c r="G7" s="25"/>
      <c r="I7" s="12" t="s">
        <v>64</v>
      </c>
      <c r="J7" s="13">
        <v>55</v>
      </c>
    </row>
    <row r="8" spans="1:10" x14ac:dyDescent="0.3">
      <c r="A8" s="15" t="s">
        <v>129</v>
      </c>
      <c r="B8" s="25"/>
      <c r="C8" s="25"/>
      <c r="D8" s="25"/>
      <c r="E8" s="25"/>
      <c r="F8" s="25"/>
      <c r="G8" s="25"/>
      <c r="I8" s="12" t="s">
        <v>102</v>
      </c>
      <c r="J8" s="13">
        <v>56</v>
      </c>
    </row>
    <row r="9" spans="1:10" x14ac:dyDescent="0.3">
      <c r="A9" s="16" t="s">
        <v>26</v>
      </c>
      <c r="B9" s="25">
        <v>124</v>
      </c>
      <c r="C9" s="25">
        <v>66</v>
      </c>
      <c r="D9" s="25">
        <v>4</v>
      </c>
      <c r="E9" s="25">
        <v>73</v>
      </c>
      <c r="F9" s="25">
        <v>18.25</v>
      </c>
      <c r="G9" s="25">
        <v>376.39</v>
      </c>
      <c r="I9" s="12" t="s">
        <v>40</v>
      </c>
      <c r="J9" s="13">
        <v>0</v>
      </c>
    </row>
    <row r="10" spans="1:10" x14ac:dyDescent="0.3">
      <c r="A10" s="12" t="s">
        <v>89</v>
      </c>
      <c r="B10" s="25"/>
      <c r="C10" s="25"/>
      <c r="D10" s="25"/>
      <c r="E10" s="25"/>
      <c r="F10" s="25"/>
      <c r="G10" s="25"/>
      <c r="I10" s="12" t="s">
        <v>53</v>
      </c>
      <c r="J10" s="13">
        <v>147</v>
      </c>
    </row>
    <row r="11" spans="1:10" x14ac:dyDescent="0.3">
      <c r="A11" s="15" t="s">
        <v>129</v>
      </c>
      <c r="B11" s="25"/>
      <c r="C11" s="25"/>
      <c r="D11" s="25"/>
      <c r="E11" s="25"/>
      <c r="F11" s="25"/>
      <c r="G11" s="25"/>
      <c r="I11" s="12" t="s">
        <v>59</v>
      </c>
      <c r="J11" s="13">
        <v>15</v>
      </c>
    </row>
    <row r="12" spans="1:10" x14ac:dyDescent="0.3">
      <c r="A12" s="16" t="s">
        <v>17</v>
      </c>
      <c r="B12" s="25">
        <v>0</v>
      </c>
      <c r="C12" s="25">
        <v>0</v>
      </c>
      <c r="D12" s="25">
        <v>2</v>
      </c>
      <c r="E12" s="25">
        <v>30</v>
      </c>
      <c r="F12" s="25">
        <v>7.5</v>
      </c>
      <c r="G12" s="25">
        <v>0</v>
      </c>
      <c r="I12" s="12" t="s">
        <v>61</v>
      </c>
      <c r="J12" s="13">
        <v>0</v>
      </c>
    </row>
    <row r="13" spans="1:10" x14ac:dyDescent="0.3">
      <c r="A13" s="12" t="s">
        <v>64</v>
      </c>
      <c r="B13" s="25"/>
      <c r="C13" s="25"/>
      <c r="D13" s="25"/>
      <c r="E13" s="25"/>
      <c r="F13" s="25"/>
      <c r="G13" s="25"/>
      <c r="I13" s="12" t="s">
        <v>43</v>
      </c>
      <c r="J13" s="13">
        <v>40</v>
      </c>
    </row>
    <row r="14" spans="1:10" x14ac:dyDescent="0.3">
      <c r="A14" s="15" t="s">
        <v>129</v>
      </c>
      <c r="B14" s="25"/>
      <c r="C14" s="25"/>
      <c r="D14" s="25"/>
      <c r="E14" s="25"/>
      <c r="F14" s="25"/>
      <c r="G14" s="25"/>
      <c r="I14" s="12" t="s">
        <v>79</v>
      </c>
      <c r="J14" s="13">
        <v>0</v>
      </c>
    </row>
    <row r="15" spans="1:10" x14ac:dyDescent="0.3">
      <c r="A15" s="16" t="s">
        <v>11</v>
      </c>
      <c r="B15" s="25">
        <v>55</v>
      </c>
      <c r="C15" s="25">
        <v>35</v>
      </c>
      <c r="D15" s="25">
        <v>0</v>
      </c>
      <c r="E15" s="25">
        <v>0</v>
      </c>
      <c r="F15" s="25">
        <v>0</v>
      </c>
      <c r="G15" s="25">
        <v>157.13999999999999</v>
      </c>
      <c r="I15" s="12" t="s">
        <v>340</v>
      </c>
      <c r="J15" s="13">
        <v>567</v>
      </c>
    </row>
    <row r="16" spans="1:10" x14ac:dyDescent="0.3">
      <c r="A16" s="12" t="s">
        <v>102</v>
      </c>
      <c r="B16" s="25"/>
      <c r="C16" s="25"/>
      <c r="D16" s="25"/>
      <c r="E16" s="25"/>
      <c r="F16" s="25"/>
      <c r="G16" s="25"/>
    </row>
    <row r="17" spans="1:7" x14ac:dyDescent="0.3">
      <c r="A17" s="15" t="s">
        <v>129</v>
      </c>
      <c r="B17" s="25"/>
      <c r="C17" s="25"/>
      <c r="D17" s="25"/>
      <c r="E17" s="25"/>
      <c r="F17" s="25"/>
      <c r="G17" s="25"/>
    </row>
    <row r="18" spans="1:7" x14ac:dyDescent="0.3">
      <c r="A18" s="16" t="s">
        <v>21</v>
      </c>
      <c r="B18" s="25">
        <v>56</v>
      </c>
      <c r="C18" s="25">
        <v>28</v>
      </c>
      <c r="D18" s="25">
        <v>0</v>
      </c>
      <c r="E18" s="25">
        <v>0</v>
      </c>
      <c r="F18" s="25">
        <v>0</v>
      </c>
      <c r="G18" s="25">
        <v>200</v>
      </c>
    </row>
    <row r="19" spans="1:7" x14ac:dyDescent="0.3">
      <c r="A19" s="12" t="s">
        <v>40</v>
      </c>
      <c r="B19" s="25"/>
      <c r="C19" s="25"/>
      <c r="D19" s="25"/>
      <c r="E19" s="25"/>
      <c r="F19" s="25"/>
      <c r="G19" s="25"/>
    </row>
    <row r="20" spans="1:7" x14ac:dyDescent="0.3">
      <c r="A20" s="15" t="s">
        <v>129</v>
      </c>
      <c r="B20" s="25"/>
      <c r="C20" s="25"/>
      <c r="D20" s="25"/>
      <c r="E20" s="25"/>
      <c r="F20" s="25"/>
      <c r="G20" s="25"/>
    </row>
    <row r="21" spans="1:7" x14ac:dyDescent="0.3">
      <c r="A21" s="16" t="s">
        <v>17</v>
      </c>
      <c r="B21" s="25">
        <v>0</v>
      </c>
      <c r="C21" s="25">
        <v>0</v>
      </c>
      <c r="D21" s="25">
        <v>3</v>
      </c>
      <c r="E21" s="25">
        <v>21</v>
      </c>
      <c r="F21" s="25">
        <v>5.25</v>
      </c>
      <c r="G21" s="25">
        <v>0</v>
      </c>
    </row>
    <row r="22" spans="1:7" x14ac:dyDescent="0.3">
      <c r="A22" s="12" t="s">
        <v>53</v>
      </c>
      <c r="B22" s="25"/>
      <c r="C22" s="25"/>
      <c r="D22" s="25"/>
      <c r="E22" s="25"/>
      <c r="F22" s="25"/>
      <c r="G22" s="25"/>
    </row>
    <row r="23" spans="1:7" x14ac:dyDescent="0.3">
      <c r="A23" s="15" t="s">
        <v>129</v>
      </c>
      <c r="B23" s="25"/>
      <c r="C23" s="25"/>
      <c r="D23" s="25"/>
      <c r="E23" s="25"/>
      <c r="F23" s="25"/>
      <c r="G23" s="25"/>
    </row>
    <row r="24" spans="1:7" x14ac:dyDescent="0.3">
      <c r="A24" s="16" t="s">
        <v>11</v>
      </c>
      <c r="B24" s="25">
        <v>147</v>
      </c>
      <c r="C24" s="25">
        <v>90</v>
      </c>
      <c r="D24" s="25">
        <v>0</v>
      </c>
      <c r="E24" s="25">
        <v>0</v>
      </c>
      <c r="F24" s="25">
        <v>0</v>
      </c>
      <c r="G24" s="25">
        <v>556.70000000000005</v>
      </c>
    </row>
    <row r="25" spans="1:7" x14ac:dyDescent="0.3">
      <c r="A25" s="12" t="s">
        <v>59</v>
      </c>
      <c r="B25" s="25"/>
      <c r="C25" s="25"/>
      <c r="D25" s="25"/>
      <c r="E25" s="25"/>
      <c r="F25" s="25"/>
      <c r="G25" s="25"/>
    </row>
    <row r="26" spans="1:7" x14ac:dyDescent="0.3">
      <c r="A26" s="15" t="s">
        <v>129</v>
      </c>
      <c r="B26" s="25"/>
      <c r="C26" s="25"/>
      <c r="D26" s="25"/>
      <c r="E26" s="25"/>
      <c r="F26" s="25"/>
      <c r="G26" s="25"/>
    </row>
    <row r="27" spans="1:7" x14ac:dyDescent="0.3">
      <c r="A27" s="16" t="s">
        <v>26</v>
      </c>
      <c r="B27" s="25">
        <v>15</v>
      </c>
      <c r="C27" s="25">
        <v>10</v>
      </c>
      <c r="D27" s="25">
        <v>1</v>
      </c>
      <c r="E27" s="25">
        <v>25</v>
      </c>
      <c r="F27" s="25">
        <v>6.25</v>
      </c>
      <c r="G27" s="25">
        <v>150</v>
      </c>
    </row>
    <row r="28" spans="1:7" x14ac:dyDescent="0.3">
      <c r="A28" s="12" t="s">
        <v>61</v>
      </c>
      <c r="B28" s="25"/>
      <c r="C28" s="25"/>
      <c r="D28" s="25"/>
      <c r="E28" s="25"/>
      <c r="F28" s="25"/>
      <c r="G28" s="25"/>
    </row>
    <row r="29" spans="1:7" x14ac:dyDescent="0.3">
      <c r="A29" s="15" t="s">
        <v>129</v>
      </c>
      <c r="B29" s="25"/>
      <c r="C29" s="25"/>
      <c r="D29" s="25"/>
      <c r="E29" s="25"/>
      <c r="F29" s="25"/>
      <c r="G29" s="25"/>
    </row>
    <row r="30" spans="1:7" x14ac:dyDescent="0.3">
      <c r="A30" s="16" t="s">
        <v>17</v>
      </c>
      <c r="B30" s="25">
        <v>0</v>
      </c>
      <c r="C30" s="25">
        <v>0</v>
      </c>
      <c r="D30" s="25">
        <v>4</v>
      </c>
      <c r="E30" s="25">
        <v>19</v>
      </c>
      <c r="F30" s="25">
        <v>5.43</v>
      </c>
      <c r="G30" s="25">
        <v>0</v>
      </c>
    </row>
    <row r="31" spans="1:7" x14ac:dyDescent="0.3">
      <c r="A31" s="12" t="s">
        <v>43</v>
      </c>
      <c r="B31" s="25"/>
      <c r="C31" s="25"/>
      <c r="D31" s="25"/>
      <c r="E31" s="25"/>
      <c r="F31" s="25"/>
      <c r="G31" s="25"/>
    </row>
    <row r="32" spans="1:7" x14ac:dyDescent="0.3">
      <c r="A32" s="15" t="s">
        <v>129</v>
      </c>
      <c r="B32" s="25"/>
      <c r="C32" s="25"/>
      <c r="D32" s="25"/>
      <c r="E32" s="25"/>
      <c r="F32" s="25"/>
      <c r="G32" s="25"/>
    </row>
    <row r="33" spans="1:7" x14ac:dyDescent="0.3">
      <c r="A33" s="16" t="s">
        <v>11</v>
      </c>
      <c r="B33" s="25">
        <v>40</v>
      </c>
      <c r="C33" s="25">
        <v>30</v>
      </c>
      <c r="D33" s="25">
        <v>0</v>
      </c>
      <c r="E33" s="25">
        <v>0</v>
      </c>
      <c r="F33" s="25">
        <v>0</v>
      </c>
      <c r="G33" s="25">
        <v>133.33000000000001</v>
      </c>
    </row>
    <row r="34" spans="1:7" x14ac:dyDescent="0.3">
      <c r="A34" s="12" t="s">
        <v>79</v>
      </c>
      <c r="B34" s="25"/>
      <c r="C34" s="25"/>
      <c r="D34" s="25"/>
      <c r="E34" s="25"/>
      <c r="F34" s="25"/>
      <c r="G34" s="25"/>
    </row>
    <row r="35" spans="1:7" x14ac:dyDescent="0.3">
      <c r="A35" s="15" t="s">
        <v>129</v>
      </c>
      <c r="B35" s="25"/>
      <c r="C35" s="25"/>
      <c r="D35" s="25"/>
      <c r="E35" s="25"/>
      <c r="F35" s="25"/>
      <c r="G35" s="25"/>
    </row>
    <row r="36" spans="1:7" x14ac:dyDescent="0.3">
      <c r="A36" s="16" t="s">
        <v>17</v>
      </c>
      <c r="B36" s="25">
        <v>0</v>
      </c>
      <c r="C36" s="25">
        <v>0</v>
      </c>
      <c r="D36" s="25">
        <v>1</v>
      </c>
      <c r="E36" s="25">
        <v>40</v>
      </c>
      <c r="F36" s="25">
        <v>10</v>
      </c>
      <c r="G36" s="25">
        <v>0</v>
      </c>
    </row>
    <row r="37" spans="1:7" x14ac:dyDescent="0.3">
      <c r="A37" s="12" t="s">
        <v>340</v>
      </c>
      <c r="B37" s="25">
        <v>567</v>
      </c>
      <c r="C37" s="25">
        <v>339</v>
      </c>
      <c r="D37" s="25">
        <v>15</v>
      </c>
      <c r="E37" s="25">
        <v>208</v>
      </c>
      <c r="F37" s="25">
        <v>52.68</v>
      </c>
      <c r="G37" s="25">
        <v>1898.56</v>
      </c>
    </row>
    <row r="39" spans="1:7" x14ac:dyDescent="0.3">
      <c r="A39" s="11" t="s">
        <v>385</v>
      </c>
      <c r="B39" t="s">
        <v>386</v>
      </c>
    </row>
    <row r="40" spans="1:7" x14ac:dyDescent="0.3">
      <c r="A40" s="12" t="s">
        <v>97</v>
      </c>
      <c r="B40" s="13">
        <v>0</v>
      </c>
    </row>
    <row r="41" spans="1:7" x14ac:dyDescent="0.3">
      <c r="A41" s="12" t="s">
        <v>56</v>
      </c>
      <c r="B41" s="13">
        <v>4</v>
      </c>
    </row>
    <row r="42" spans="1:7" x14ac:dyDescent="0.3">
      <c r="A42" s="12" t="s">
        <v>89</v>
      </c>
      <c r="B42" s="13">
        <v>2</v>
      </c>
    </row>
    <row r="43" spans="1:7" x14ac:dyDescent="0.3">
      <c r="A43" s="12" t="s">
        <v>64</v>
      </c>
      <c r="B43" s="13">
        <v>0</v>
      </c>
    </row>
    <row r="44" spans="1:7" x14ac:dyDescent="0.3">
      <c r="A44" s="12" t="s">
        <v>102</v>
      </c>
      <c r="B44" s="13">
        <v>0</v>
      </c>
    </row>
    <row r="45" spans="1:7" x14ac:dyDescent="0.3">
      <c r="A45" s="12" t="s">
        <v>40</v>
      </c>
      <c r="B45" s="13">
        <v>3</v>
      </c>
    </row>
    <row r="46" spans="1:7" x14ac:dyDescent="0.3">
      <c r="A46" s="12" t="s">
        <v>53</v>
      </c>
      <c r="B46" s="13">
        <v>0</v>
      </c>
    </row>
    <row r="47" spans="1:7" x14ac:dyDescent="0.3">
      <c r="A47" s="12" t="s">
        <v>59</v>
      </c>
      <c r="B47" s="13">
        <v>1</v>
      </c>
    </row>
    <row r="48" spans="1:7" x14ac:dyDescent="0.3">
      <c r="A48" s="12" t="s">
        <v>61</v>
      </c>
      <c r="B48" s="13">
        <v>4</v>
      </c>
    </row>
    <row r="49" spans="1:2" x14ac:dyDescent="0.3">
      <c r="A49" s="12" t="s">
        <v>43</v>
      </c>
      <c r="B49" s="13">
        <v>0</v>
      </c>
    </row>
    <row r="50" spans="1:2" x14ac:dyDescent="0.3">
      <c r="A50" s="12" t="s">
        <v>79</v>
      </c>
      <c r="B50" s="13">
        <v>1</v>
      </c>
    </row>
    <row r="51" spans="1:2" x14ac:dyDescent="0.3">
      <c r="A51" s="12" t="s">
        <v>340</v>
      </c>
      <c r="B51" s="13">
        <v>15</v>
      </c>
    </row>
    <row r="75" spans="1:3" x14ac:dyDescent="0.3">
      <c r="A75" s="11" t="s">
        <v>385</v>
      </c>
      <c r="B75" t="s">
        <v>387</v>
      </c>
      <c r="C75" t="s">
        <v>388</v>
      </c>
    </row>
    <row r="76" spans="1:3" x14ac:dyDescent="0.3">
      <c r="A76" s="12" t="s">
        <v>43</v>
      </c>
      <c r="B76" s="20">
        <v>133.33000000000001</v>
      </c>
      <c r="C76" s="25">
        <v>133.33000000000001</v>
      </c>
    </row>
    <row r="77" spans="1:3" x14ac:dyDescent="0.3">
      <c r="A77" s="12" t="s">
        <v>53</v>
      </c>
      <c r="B77" s="20">
        <v>139.17500000000001</v>
      </c>
      <c r="C77" s="25">
        <v>556.70000000000005</v>
      </c>
    </row>
    <row r="78" spans="1:3" x14ac:dyDescent="0.3">
      <c r="A78" s="12" t="s">
        <v>97</v>
      </c>
      <c r="B78" s="20">
        <v>162.5</v>
      </c>
      <c r="C78" s="25">
        <v>325</v>
      </c>
    </row>
    <row r="79" spans="1:3" x14ac:dyDescent="0.3">
      <c r="A79" s="12" t="s">
        <v>56</v>
      </c>
      <c r="B79" s="20">
        <v>188.19499999999999</v>
      </c>
      <c r="C79" s="25">
        <v>376.39</v>
      </c>
    </row>
    <row r="80" spans="1:3" x14ac:dyDescent="0.3">
      <c r="A80" s="12" t="s">
        <v>89</v>
      </c>
      <c r="B80" s="20">
        <v>0</v>
      </c>
      <c r="C80" s="25">
        <v>0</v>
      </c>
    </row>
    <row r="81" spans="1:3" x14ac:dyDescent="0.3">
      <c r="A81" s="12" t="s">
        <v>64</v>
      </c>
      <c r="B81" s="20">
        <v>157.13999999999999</v>
      </c>
      <c r="C81" s="25">
        <v>157.13999999999999</v>
      </c>
    </row>
    <row r="82" spans="1:3" x14ac:dyDescent="0.3">
      <c r="A82" s="12" t="s">
        <v>102</v>
      </c>
      <c r="B82" s="20">
        <v>200</v>
      </c>
      <c r="C82" s="25">
        <v>200</v>
      </c>
    </row>
    <row r="83" spans="1:3" x14ac:dyDescent="0.3">
      <c r="A83" s="12" t="s">
        <v>40</v>
      </c>
      <c r="B83" s="20">
        <v>0</v>
      </c>
      <c r="C83" s="25">
        <v>0</v>
      </c>
    </row>
    <row r="84" spans="1:3" x14ac:dyDescent="0.3">
      <c r="A84" s="12" t="s">
        <v>59</v>
      </c>
      <c r="B84" s="20">
        <v>150</v>
      </c>
      <c r="C84" s="25">
        <v>150</v>
      </c>
    </row>
    <row r="85" spans="1:3" x14ac:dyDescent="0.3">
      <c r="A85" s="12" t="s">
        <v>61</v>
      </c>
      <c r="B85" s="20">
        <v>0</v>
      </c>
      <c r="C85" s="25">
        <v>0</v>
      </c>
    </row>
    <row r="86" spans="1:3" x14ac:dyDescent="0.3">
      <c r="A86" s="12" t="s">
        <v>79</v>
      </c>
      <c r="B86" s="20">
        <v>0</v>
      </c>
      <c r="C86" s="25">
        <v>0</v>
      </c>
    </row>
    <row r="87" spans="1:3" x14ac:dyDescent="0.3">
      <c r="A87" s="12" t="s">
        <v>340</v>
      </c>
      <c r="B87" s="20">
        <v>118.66</v>
      </c>
      <c r="C87" s="25">
        <v>1898.56</v>
      </c>
    </row>
    <row r="110" spans="1:2" x14ac:dyDescent="0.3">
      <c r="A110" s="11" t="s">
        <v>385</v>
      </c>
      <c r="B110" t="s">
        <v>389</v>
      </c>
    </row>
    <row r="111" spans="1:2" x14ac:dyDescent="0.3">
      <c r="A111" s="12" t="s">
        <v>97</v>
      </c>
      <c r="B111" s="25">
        <v>0</v>
      </c>
    </row>
    <row r="112" spans="1:2" x14ac:dyDescent="0.3">
      <c r="A112" s="12" t="s">
        <v>56</v>
      </c>
      <c r="B112" s="25">
        <v>18.25</v>
      </c>
    </row>
    <row r="113" spans="1:2" x14ac:dyDescent="0.3">
      <c r="A113" s="12" t="s">
        <v>89</v>
      </c>
      <c r="B113" s="25">
        <v>7.5</v>
      </c>
    </row>
    <row r="114" spans="1:2" x14ac:dyDescent="0.3">
      <c r="A114" s="12" t="s">
        <v>64</v>
      </c>
      <c r="B114" s="25">
        <v>0</v>
      </c>
    </row>
    <row r="115" spans="1:2" x14ac:dyDescent="0.3">
      <c r="A115" s="12" t="s">
        <v>102</v>
      </c>
      <c r="B115" s="25">
        <v>0</v>
      </c>
    </row>
    <row r="116" spans="1:2" x14ac:dyDescent="0.3">
      <c r="A116" s="12" t="s">
        <v>40</v>
      </c>
      <c r="B116" s="25">
        <v>5.25</v>
      </c>
    </row>
    <row r="117" spans="1:2" x14ac:dyDescent="0.3">
      <c r="A117" s="12" t="s">
        <v>53</v>
      </c>
      <c r="B117" s="25">
        <v>0</v>
      </c>
    </row>
    <row r="118" spans="1:2" x14ac:dyDescent="0.3">
      <c r="A118" s="12" t="s">
        <v>59</v>
      </c>
      <c r="B118" s="25">
        <v>6.25</v>
      </c>
    </row>
    <row r="119" spans="1:2" x14ac:dyDescent="0.3">
      <c r="A119" s="12" t="s">
        <v>61</v>
      </c>
      <c r="B119" s="25">
        <v>5.43</v>
      </c>
    </row>
    <row r="120" spans="1:2" x14ac:dyDescent="0.3">
      <c r="A120" s="12" t="s">
        <v>43</v>
      </c>
      <c r="B120" s="25">
        <v>0</v>
      </c>
    </row>
    <row r="121" spans="1:2" x14ac:dyDescent="0.3">
      <c r="A121" s="12" t="s">
        <v>79</v>
      </c>
      <c r="B121" s="25">
        <v>10</v>
      </c>
    </row>
    <row r="122" spans="1:2" x14ac:dyDescent="0.3">
      <c r="A122" s="12" t="s">
        <v>340</v>
      </c>
      <c r="B122" s="25">
        <v>52.68</v>
      </c>
    </row>
  </sheetData>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5E87-483E-4FA3-A20E-1840DC110C84}">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98BB-194F-4D3C-AC87-B996475379E8}">
  <dimension ref="A1:R13"/>
  <sheetViews>
    <sheetView tabSelected="1" workbookViewId="0">
      <selection activeCell="G10" sqref="G10"/>
    </sheetView>
  </sheetViews>
  <sheetFormatPr defaultRowHeight="14.4" x14ac:dyDescent="0.3"/>
  <sheetData>
    <row r="1" spans="1:18" x14ac:dyDescent="0.3">
      <c r="A1" s="17"/>
      <c r="B1" s="17"/>
      <c r="C1" s="17"/>
      <c r="D1" s="17"/>
      <c r="E1" s="17"/>
      <c r="F1" s="17"/>
      <c r="G1" s="17"/>
      <c r="H1" s="17"/>
      <c r="I1" s="17"/>
      <c r="J1" s="17"/>
      <c r="K1" s="17"/>
      <c r="L1" s="17"/>
      <c r="M1" s="17"/>
      <c r="N1" s="17"/>
      <c r="O1" s="17"/>
      <c r="P1" s="17"/>
      <c r="Q1" s="17"/>
      <c r="R1" s="17"/>
    </row>
    <row r="2" spans="1:18" x14ac:dyDescent="0.3">
      <c r="A2" s="17"/>
      <c r="B2" s="17"/>
      <c r="C2" s="17"/>
      <c r="D2" s="17"/>
      <c r="E2" s="17"/>
      <c r="F2" s="17"/>
      <c r="G2" s="17"/>
      <c r="H2" s="17"/>
      <c r="I2" s="17"/>
      <c r="J2" s="17"/>
      <c r="K2" s="17"/>
      <c r="L2" s="17"/>
      <c r="M2" s="17"/>
      <c r="N2" s="17"/>
      <c r="O2" s="17"/>
      <c r="P2" s="17"/>
      <c r="Q2" s="17"/>
      <c r="R2" s="17"/>
    </row>
    <row r="3" spans="1:18" x14ac:dyDescent="0.3">
      <c r="A3" s="17"/>
      <c r="B3" s="17"/>
      <c r="C3" s="17"/>
      <c r="D3" s="17"/>
      <c r="E3" s="17"/>
      <c r="F3" s="21" t="s">
        <v>390</v>
      </c>
      <c r="G3" s="21"/>
      <c r="H3" s="21"/>
      <c r="I3" s="17"/>
      <c r="J3" s="21" t="s">
        <v>391</v>
      </c>
      <c r="K3" s="21"/>
      <c r="L3" s="21"/>
      <c r="M3" s="17"/>
      <c r="N3" s="17"/>
      <c r="O3" s="17"/>
      <c r="P3" s="17"/>
      <c r="Q3" s="17"/>
      <c r="R3" s="17"/>
    </row>
    <row r="4" spans="1:18" x14ac:dyDescent="0.3">
      <c r="A4" s="17"/>
      <c r="B4" s="17"/>
      <c r="C4" s="17"/>
      <c r="D4" s="17"/>
      <c r="E4" s="17"/>
      <c r="F4" s="21"/>
      <c r="G4" s="21"/>
      <c r="H4" s="21"/>
      <c r="I4" s="17"/>
      <c r="J4" s="21"/>
      <c r="K4" s="21"/>
      <c r="L4" s="21"/>
      <c r="M4" s="17"/>
      <c r="N4" s="17"/>
      <c r="O4" s="17"/>
      <c r="P4" s="17"/>
      <c r="Q4" s="17"/>
      <c r="R4" s="17"/>
    </row>
    <row r="5" spans="1:18" x14ac:dyDescent="0.3">
      <c r="A5" s="17"/>
      <c r="B5" s="17"/>
      <c r="C5" s="17"/>
      <c r="D5" s="17"/>
      <c r="E5" s="17"/>
      <c r="F5" s="21"/>
      <c r="G5" s="21"/>
      <c r="H5" s="21"/>
      <c r="I5" s="17"/>
      <c r="J5" s="21"/>
      <c r="K5" s="21"/>
      <c r="L5" s="21"/>
      <c r="M5" s="17"/>
      <c r="N5" s="17"/>
      <c r="O5" s="17"/>
      <c r="P5" s="17"/>
      <c r="Q5" s="17"/>
      <c r="R5" s="17"/>
    </row>
    <row r="6" spans="1:18" x14ac:dyDescent="0.3">
      <c r="A6" s="17"/>
      <c r="B6" s="17"/>
      <c r="C6" s="17"/>
      <c r="D6" s="17"/>
      <c r="E6" s="17"/>
      <c r="F6" s="21">
        <f>GETPIVOTDATA("[Measures].[Avgstrikearte]",Player_Summary!$A$75)</f>
        <v>118.66</v>
      </c>
      <c r="G6" s="21"/>
      <c r="H6" s="21"/>
      <c r="I6" s="17"/>
      <c r="J6" s="21">
        <f>GETPIVOTDATA("[Measures].[Sum of Economy]",Player_Summary!$A$110)</f>
        <v>52.68</v>
      </c>
      <c r="K6" s="21"/>
      <c r="L6" s="21"/>
      <c r="M6" s="17"/>
      <c r="N6" s="17"/>
      <c r="O6" s="17"/>
      <c r="P6" s="17"/>
      <c r="Q6" s="17"/>
      <c r="R6" s="17"/>
    </row>
    <row r="7" spans="1:18" x14ac:dyDescent="0.3">
      <c r="A7" s="17"/>
      <c r="B7" s="17"/>
      <c r="C7" s="17"/>
      <c r="D7" s="17"/>
      <c r="E7" s="17"/>
      <c r="F7" s="21"/>
      <c r="G7" s="21"/>
      <c r="H7" s="21"/>
      <c r="I7" s="17"/>
      <c r="J7" s="21"/>
      <c r="K7" s="21"/>
      <c r="L7" s="21"/>
      <c r="M7" s="17"/>
      <c r="N7" s="17"/>
      <c r="O7" s="17"/>
      <c r="P7" s="17"/>
      <c r="Q7" s="17"/>
      <c r="R7" s="17"/>
    </row>
    <row r="8" spans="1:18" x14ac:dyDescent="0.3">
      <c r="A8" s="17"/>
      <c r="B8" s="17"/>
      <c r="C8" s="17"/>
      <c r="D8" s="17"/>
      <c r="E8" s="17"/>
      <c r="F8" s="21"/>
      <c r="G8" s="21"/>
      <c r="H8" s="21"/>
      <c r="I8" s="17"/>
      <c r="J8" s="21"/>
      <c r="K8" s="21"/>
      <c r="L8" s="21"/>
      <c r="M8" s="17"/>
      <c r="N8" s="17"/>
      <c r="O8" s="17"/>
      <c r="P8" s="17"/>
      <c r="Q8" s="17"/>
      <c r="R8" s="17"/>
    </row>
    <row r="9" spans="1:18" x14ac:dyDescent="0.3">
      <c r="A9" s="17"/>
      <c r="B9" s="17"/>
      <c r="C9" s="17"/>
      <c r="D9" s="17"/>
      <c r="E9" s="17"/>
      <c r="F9" s="17"/>
      <c r="G9" s="17"/>
      <c r="H9" s="17"/>
      <c r="I9" s="17"/>
      <c r="J9" s="17"/>
      <c r="K9" s="17"/>
      <c r="L9" s="17"/>
      <c r="M9" s="17"/>
      <c r="N9" s="17"/>
      <c r="O9" s="17"/>
      <c r="P9" s="17"/>
      <c r="Q9" s="17"/>
      <c r="R9" s="17"/>
    </row>
    <row r="10" spans="1:18" x14ac:dyDescent="0.3">
      <c r="A10" s="17"/>
      <c r="B10" s="17"/>
      <c r="C10" s="17"/>
      <c r="D10" s="17"/>
      <c r="E10" s="17"/>
      <c r="F10" s="17"/>
      <c r="G10" s="17"/>
      <c r="H10" s="17"/>
      <c r="I10" s="17"/>
      <c r="J10" s="17"/>
      <c r="K10" s="17"/>
      <c r="L10" s="17"/>
      <c r="M10" s="17"/>
      <c r="N10" s="17"/>
      <c r="O10" s="17"/>
      <c r="P10" s="17"/>
      <c r="Q10" s="17"/>
      <c r="R10" s="17"/>
    </row>
    <row r="11" spans="1:18" x14ac:dyDescent="0.3">
      <c r="A11" s="17"/>
      <c r="B11" s="17"/>
      <c r="C11" s="17"/>
      <c r="D11" s="17"/>
      <c r="E11" s="17"/>
      <c r="F11" s="17"/>
      <c r="G11" s="17"/>
      <c r="H11" s="17"/>
      <c r="I11" s="17"/>
      <c r="J11" s="17"/>
      <c r="K11" s="17"/>
      <c r="L11" s="17"/>
      <c r="M11" s="17"/>
      <c r="N11" s="17"/>
      <c r="O11" s="17"/>
      <c r="P11" s="17"/>
      <c r="Q11" s="17"/>
      <c r="R11" s="17"/>
    </row>
    <row r="12" spans="1:18" x14ac:dyDescent="0.3">
      <c r="A12" s="17"/>
      <c r="B12" s="17"/>
      <c r="C12" s="17"/>
      <c r="D12" s="17"/>
      <c r="E12" s="17"/>
      <c r="F12" s="17"/>
      <c r="G12" s="17"/>
      <c r="H12" s="17"/>
      <c r="I12" s="17"/>
      <c r="J12" s="17"/>
      <c r="K12" s="17"/>
      <c r="L12" s="17"/>
      <c r="M12" s="17"/>
      <c r="N12" s="17"/>
      <c r="O12" s="17"/>
      <c r="P12" s="17"/>
      <c r="Q12" s="17"/>
      <c r="R12" s="17"/>
    </row>
    <row r="13" spans="1:18" x14ac:dyDescent="0.3">
      <c r="A13" s="17"/>
      <c r="B13" s="17"/>
      <c r="C13" s="17"/>
      <c r="D13" s="17"/>
      <c r="E13" s="17"/>
      <c r="F13" s="17"/>
      <c r="G13" s="17"/>
      <c r="H13" s="17"/>
      <c r="I13" s="17"/>
      <c r="J13" s="17"/>
      <c r="K13" s="17"/>
      <c r="L13" s="17"/>
      <c r="M13" s="17"/>
      <c r="N13" s="17"/>
      <c r="O13" s="17"/>
      <c r="P13" s="17"/>
      <c r="Q13" s="17"/>
      <c r="R13" s="17"/>
    </row>
  </sheetData>
  <mergeCells count="4">
    <mergeCell ref="F3:H5"/>
    <mergeCell ref="F6:H8"/>
    <mergeCell ref="J3:L5"/>
    <mergeCell ref="J6: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6D72-ADB0-4F4A-8CFB-685F8BC5BE66}">
  <dimension ref="A1:X9"/>
  <sheetViews>
    <sheetView workbookViewId="0">
      <selection activeCell="L4" sqref="L4"/>
    </sheetView>
  </sheetViews>
  <sheetFormatPr defaultRowHeight="14.4" x14ac:dyDescent="0.3"/>
  <sheetData>
    <row r="1" spans="1:24" x14ac:dyDescent="0.3">
      <c r="A1" s="17"/>
      <c r="B1" s="17"/>
      <c r="C1" s="17"/>
      <c r="D1" s="17"/>
      <c r="E1" s="17"/>
      <c r="F1" s="17"/>
      <c r="G1" s="17"/>
      <c r="H1" s="17"/>
      <c r="I1" s="17"/>
      <c r="J1" s="17"/>
      <c r="K1" s="17"/>
      <c r="L1" s="17"/>
      <c r="M1" s="17"/>
      <c r="N1" s="17"/>
      <c r="O1" s="17"/>
      <c r="P1" s="17"/>
      <c r="Q1" s="17"/>
      <c r="R1" s="17"/>
      <c r="S1" s="17"/>
      <c r="T1" s="17"/>
      <c r="U1" s="17"/>
      <c r="V1" s="17"/>
      <c r="W1" s="17"/>
      <c r="X1" s="17"/>
    </row>
    <row r="2" spans="1:24" ht="25.8" customHeight="1" x14ac:dyDescent="0.3">
      <c r="A2" s="17"/>
      <c r="B2" s="17"/>
      <c r="C2" s="17"/>
      <c r="D2" s="17"/>
      <c r="E2" s="17"/>
      <c r="F2" s="17"/>
      <c r="G2" s="17"/>
      <c r="H2" s="17"/>
      <c r="I2" s="21" t="s">
        <v>380</v>
      </c>
      <c r="J2" s="21"/>
      <c r="K2" s="21"/>
      <c r="L2" s="18"/>
      <c r="M2" s="22" t="s">
        <v>381</v>
      </c>
      <c r="N2" s="23"/>
      <c r="O2" s="23"/>
      <c r="P2" s="17"/>
      <c r="Q2" s="21" t="s">
        <v>382</v>
      </c>
      <c r="R2" s="21"/>
      <c r="S2" s="21"/>
      <c r="T2" s="17"/>
      <c r="U2" s="21" t="s">
        <v>383</v>
      </c>
      <c r="V2" s="21"/>
      <c r="W2" s="21"/>
      <c r="X2" s="17"/>
    </row>
    <row r="3" spans="1:24" ht="25.8" customHeight="1" x14ac:dyDescent="0.3">
      <c r="A3" s="17"/>
      <c r="B3" s="17"/>
      <c r="C3" s="17"/>
      <c r="D3" s="17"/>
      <c r="E3" s="17"/>
      <c r="F3" s="17"/>
      <c r="G3" s="17"/>
      <c r="H3" s="18"/>
      <c r="I3" s="21"/>
      <c r="J3" s="21"/>
      <c r="K3" s="21"/>
      <c r="L3" s="17"/>
      <c r="M3" s="23"/>
      <c r="N3" s="23"/>
      <c r="O3" s="23"/>
      <c r="P3" s="17"/>
      <c r="Q3" s="21"/>
      <c r="R3" s="21"/>
      <c r="S3" s="21"/>
      <c r="T3" s="17"/>
      <c r="U3" s="21"/>
      <c r="V3" s="21"/>
      <c r="W3" s="21"/>
      <c r="X3" s="17"/>
    </row>
    <row r="4" spans="1:24" ht="23.4" customHeight="1" x14ac:dyDescent="0.3">
      <c r="A4" s="17"/>
      <c r="B4" s="17"/>
      <c r="C4" s="17"/>
      <c r="D4" s="17"/>
      <c r="E4" s="17"/>
      <c r="F4" s="17"/>
      <c r="G4" s="17"/>
      <c r="H4" s="18"/>
      <c r="I4" s="21"/>
      <c r="J4" s="21"/>
      <c r="K4" s="21"/>
      <c r="L4" s="17"/>
      <c r="M4" s="23"/>
      <c r="N4" s="23"/>
      <c r="O4" s="23"/>
      <c r="P4" s="17"/>
      <c r="Q4" s="21"/>
      <c r="R4" s="21"/>
      <c r="S4" s="21"/>
      <c r="T4" s="17"/>
      <c r="U4" s="21"/>
      <c r="V4" s="21"/>
      <c r="W4" s="21"/>
      <c r="X4" s="17"/>
    </row>
    <row r="5" spans="1:24" x14ac:dyDescent="0.3">
      <c r="A5" s="17"/>
      <c r="B5" s="17"/>
      <c r="C5" s="17"/>
      <c r="D5" s="17"/>
      <c r="E5" s="17"/>
      <c r="F5" s="17"/>
      <c r="G5" s="17"/>
      <c r="H5" s="19"/>
      <c r="I5" s="21">
        <f>GETPIVOTDATA("[Measures].[Count of Match_ID]",Team_summary!$A$3)</f>
        <v>8</v>
      </c>
      <c r="J5" s="21"/>
      <c r="K5" s="21"/>
      <c r="L5" s="18"/>
      <c r="M5" s="24">
        <f>Team_summary!H9</f>
        <v>3</v>
      </c>
      <c r="N5" s="24"/>
      <c r="O5" s="24"/>
      <c r="P5" s="17"/>
      <c r="Q5" s="21">
        <f>GETPIVOTDATA("[Measures].[Sum of Total_Runs]",Team_summary!$A$3)</f>
        <v>2788</v>
      </c>
      <c r="R5" s="21"/>
      <c r="S5" s="21"/>
      <c r="T5" s="17"/>
      <c r="U5" s="21">
        <f>GETPIVOTDATA("[Measures].[TotalWickets]",Team_summary!$A$3)</f>
        <v>107</v>
      </c>
      <c r="V5" s="21"/>
      <c r="W5" s="21"/>
      <c r="X5" s="17"/>
    </row>
    <row r="6" spans="1:24" x14ac:dyDescent="0.3">
      <c r="A6" s="17"/>
      <c r="B6" s="17"/>
      <c r="C6" s="17"/>
      <c r="D6" s="17"/>
      <c r="E6" s="17"/>
      <c r="F6" s="17"/>
      <c r="G6" s="17"/>
      <c r="H6" s="19"/>
      <c r="I6" s="21"/>
      <c r="J6" s="21"/>
      <c r="K6" s="21"/>
      <c r="L6" s="18"/>
      <c r="M6" s="24"/>
      <c r="N6" s="24"/>
      <c r="O6" s="24"/>
      <c r="P6" s="17"/>
      <c r="Q6" s="21"/>
      <c r="R6" s="21"/>
      <c r="S6" s="21"/>
      <c r="T6" s="17"/>
      <c r="U6" s="21"/>
      <c r="V6" s="21"/>
      <c r="W6" s="21"/>
      <c r="X6" s="17"/>
    </row>
    <row r="7" spans="1:24" x14ac:dyDescent="0.3">
      <c r="A7" s="17"/>
      <c r="B7" s="17"/>
      <c r="C7" s="17"/>
      <c r="D7" s="17"/>
      <c r="E7" s="17"/>
      <c r="F7" s="17"/>
      <c r="G7" s="17"/>
      <c r="H7" s="19"/>
      <c r="I7" s="21"/>
      <c r="J7" s="21"/>
      <c r="K7" s="21"/>
      <c r="L7" s="18"/>
      <c r="M7" s="24"/>
      <c r="N7" s="24"/>
      <c r="O7" s="24"/>
      <c r="P7" s="17"/>
      <c r="Q7" s="21"/>
      <c r="R7" s="21"/>
      <c r="S7" s="21"/>
      <c r="T7" s="17"/>
      <c r="U7" s="21"/>
      <c r="V7" s="21"/>
      <c r="W7" s="21"/>
      <c r="X7" s="17"/>
    </row>
    <row r="8" spans="1:24" x14ac:dyDescent="0.3">
      <c r="A8" s="17"/>
      <c r="B8" s="17"/>
      <c r="C8" s="17"/>
      <c r="D8" s="17"/>
      <c r="E8" s="17"/>
      <c r="F8" s="17"/>
      <c r="G8" s="17"/>
      <c r="H8" s="19"/>
      <c r="I8" s="19"/>
      <c r="J8" s="19"/>
      <c r="K8" s="19"/>
      <c r="L8" s="18"/>
      <c r="M8" s="18"/>
      <c r="N8" s="18"/>
      <c r="O8" s="18"/>
      <c r="P8" s="17"/>
      <c r="Q8" s="17"/>
      <c r="R8" s="17"/>
      <c r="S8" s="17"/>
      <c r="T8" s="17"/>
      <c r="U8" s="17"/>
      <c r="V8" s="17"/>
      <c r="W8" s="17"/>
      <c r="X8" s="17"/>
    </row>
    <row r="9" spans="1:24" x14ac:dyDescent="0.3">
      <c r="A9" s="17"/>
      <c r="B9" s="17"/>
      <c r="C9" s="17"/>
      <c r="D9" s="17"/>
      <c r="E9" s="17"/>
      <c r="F9" s="17"/>
      <c r="G9" s="17"/>
      <c r="H9" s="19"/>
      <c r="I9" s="19"/>
      <c r="J9" s="19"/>
      <c r="K9" s="19"/>
      <c r="L9" s="18"/>
      <c r="M9" s="18"/>
      <c r="N9" s="18"/>
      <c r="O9" s="18"/>
      <c r="P9" s="17"/>
      <c r="Q9" s="17"/>
      <c r="R9" s="17"/>
      <c r="S9" s="17"/>
      <c r="T9" s="17"/>
      <c r="U9" s="17"/>
      <c r="V9" s="17"/>
      <c r="W9" s="17"/>
      <c r="X9" s="17"/>
    </row>
  </sheetData>
  <mergeCells count="8">
    <mergeCell ref="U2:W4"/>
    <mergeCell ref="U5:W7"/>
    <mergeCell ref="I2:K4"/>
    <mergeCell ref="I5:K7"/>
    <mergeCell ref="M2:O4"/>
    <mergeCell ref="M5:O7"/>
    <mergeCell ref="Q2:S4"/>
    <mergeCell ref="Q5:S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B6C092D-4337-4426-B326-6DD483FEB802}">
  <ds:schemaRefs/>
</ds:datastoreItem>
</file>

<file path=customXml/itemProps2.xml><?xml version="1.0" encoding="utf-8"?>
<ds:datastoreItem xmlns:ds="http://schemas.openxmlformats.org/officeDocument/2006/customXml" ds:itemID="{1E6D6E91-C4D3-4B59-BF19-BFEFD41D132A}">
  <ds:schemaRefs/>
</ds:datastoreItem>
</file>

<file path=customXml/itemProps3.xml><?xml version="1.0" encoding="utf-8"?>
<ds:datastoreItem xmlns:ds="http://schemas.openxmlformats.org/officeDocument/2006/customXml" ds:itemID="{8E49E4AC-2F81-442B-B0FD-A4EAF5C6AB71}">
  <ds:schemaRefs/>
</ds:datastoreItem>
</file>

<file path=customXml/itemProps4.xml><?xml version="1.0" encoding="utf-8"?>
<ds:datastoreItem xmlns:ds="http://schemas.openxmlformats.org/officeDocument/2006/customXml" ds:itemID="{FD3C082C-24EC-48C0-A3C8-FC0BA16AECAE}">
  <ds:schemaRefs/>
</ds:datastoreItem>
</file>

<file path=customXml/itemProps5.xml><?xml version="1.0" encoding="utf-8"?>
<ds:datastoreItem xmlns:ds="http://schemas.openxmlformats.org/officeDocument/2006/customXml" ds:itemID="{6AFDA3EF-E92D-4A01-98EE-26F62553BDF2}">
  <ds:schemaRefs/>
</ds:datastoreItem>
</file>

<file path=customXml/itemProps6.xml><?xml version="1.0" encoding="utf-8"?>
<ds:datastoreItem xmlns:ds="http://schemas.openxmlformats.org/officeDocument/2006/customXml" ds:itemID="{9928D9C0-5E7C-4A05-9708-42E753F95902}">
  <ds:schemaRefs/>
</ds:datastoreItem>
</file>

<file path=customXml/itemProps7.xml><?xml version="1.0" encoding="utf-8"?>
<ds:datastoreItem xmlns:ds="http://schemas.openxmlformats.org/officeDocument/2006/customXml" ds:itemID="{58A42E36-FA37-4790-880A-7724D403E8A0}">
  <ds:schemaRefs/>
</ds:datastoreItem>
</file>

<file path=customXml/itemProps8.xml><?xml version="1.0" encoding="utf-8"?>
<ds:datastoreItem xmlns:ds="http://schemas.openxmlformats.org/officeDocument/2006/customXml" ds:itemID="{37B6FB0C-50FD-4537-AFF6-F45EBF5059BC}">
  <ds:schemaRefs/>
</ds:datastoreItem>
</file>

<file path=customXml/itemProps9.xml><?xml version="1.0" encoding="utf-8"?>
<ds:datastoreItem xmlns:ds="http://schemas.openxmlformats.org/officeDocument/2006/customXml" ds:itemID="{A5D272B0-84ED-4D1F-AE51-CE476FAF74DB}">
  <ds:schemaRefs/>
</ds:datastoreItem>
</file>

<file path=customXml/itemProps10.xml><?xml version="1.0" encoding="utf-8"?>
<ds:datastoreItem xmlns:ds="http://schemas.openxmlformats.org/officeDocument/2006/customXml" ds:itemID="{EB7A63EF-4A70-4EDA-BC3F-2A1A450F5F2E}">
  <ds:schemaRefs/>
</ds:datastoreItem>
</file>

<file path=customXml/itemProps11.xml><?xml version="1.0" encoding="utf-8"?>
<ds:datastoreItem xmlns:ds="http://schemas.openxmlformats.org/officeDocument/2006/customXml" ds:itemID="{17FAF063-C1B2-46C7-89B4-655A14FDCAD1}">
  <ds:schemaRefs/>
</ds:datastoreItem>
</file>

<file path=customXml/itemProps12.xml><?xml version="1.0" encoding="utf-8"?>
<ds:datastoreItem xmlns:ds="http://schemas.openxmlformats.org/officeDocument/2006/customXml" ds:itemID="{71E8126C-12E6-4F17-8F56-2B82A7897D39}">
  <ds:schemaRefs/>
</ds:datastoreItem>
</file>

<file path=customXml/itemProps13.xml><?xml version="1.0" encoding="utf-8"?>
<ds:datastoreItem xmlns:ds="http://schemas.openxmlformats.org/officeDocument/2006/customXml" ds:itemID="{A115DAAE-F9F4-40E6-94F0-7DA08CF848B3}">
  <ds:schemaRefs/>
</ds:datastoreItem>
</file>

<file path=customXml/itemProps14.xml><?xml version="1.0" encoding="utf-8"?>
<ds:datastoreItem xmlns:ds="http://schemas.openxmlformats.org/officeDocument/2006/customXml" ds:itemID="{C024903D-D661-4FCC-A848-445340503BEA}">
  <ds:schemaRefs/>
</ds:datastoreItem>
</file>

<file path=customXml/itemProps15.xml><?xml version="1.0" encoding="utf-8"?>
<ds:datastoreItem xmlns:ds="http://schemas.openxmlformats.org/officeDocument/2006/customXml" ds:itemID="{B0E7698B-2249-402D-BBCF-B9A449A54103}">
  <ds:schemaRefs/>
</ds:datastoreItem>
</file>

<file path=customXml/itemProps16.xml><?xml version="1.0" encoding="utf-8"?>
<ds:datastoreItem xmlns:ds="http://schemas.openxmlformats.org/officeDocument/2006/customXml" ds:itemID="{3FEE1DB7-E01C-4493-9E44-D98E8280079C}">
  <ds:schemaRefs/>
</ds:datastoreItem>
</file>

<file path=customXml/itemProps17.xml><?xml version="1.0" encoding="utf-8"?>
<ds:datastoreItem xmlns:ds="http://schemas.openxmlformats.org/officeDocument/2006/customXml" ds:itemID="{E87D7B7A-B5CA-4732-AD9B-1D5B4CC2702B}">
  <ds:schemaRefs/>
</ds:datastoreItem>
</file>

<file path=customXml/itemProps18.xml><?xml version="1.0" encoding="utf-8"?>
<ds:datastoreItem xmlns:ds="http://schemas.openxmlformats.org/officeDocument/2006/customXml" ds:itemID="{AD2E9471-8CA2-4BA2-AB14-FF576EDDE769}">
  <ds:schemaRefs/>
</ds:datastoreItem>
</file>

<file path=customXml/itemProps19.xml><?xml version="1.0" encoding="utf-8"?>
<ds:datastoreItem xmlns:ds="http://schemas.openxmlformats.org/officeDocument/2006/customXml" ds:itemID="{93ACDA13-C0E3-48B6-A8A2-36915A7E69D3}">
  <ds:schemaRefs/>
</ds:datastoreItem>
</file>

<file path=customXml/itemProps20.xml><?xml version="1.0" encoding="utf-8"?>
<ds:datastoreItem xmlns:ds="http://schemas.openxmlformats.org/officeDocument/2006/customXml" ds:itemID="{E4FB003D-5668-43F2-9302-478EB52FD098}">
  <ds:schemaRefs>
    <ds:schemaRef ds:uri="http://schemas.microsoft.com/DataMashup"/>
  </ds:schemaRefs>
</ds:datastoreItem>
</file>

<file path=customXml/itemProps21.xml><?xml version="1.0" encoding="utf-8"?>
<ds:datastoreItem xmlns:ds="http://schemas.openxmlformats.org/officeDocument/2006/customXml" ds:itemID="{45E40543-2F3A-4330-83EF-67289E2630AB}">
  <ds:schemaRefs/>
</ds:datastoreItem>
</file>

<file path=customXml/itemProps22.xml><?xml version="1.0" encoding="utf-8"?>
<ds:datastoreItem xmlns:ds="http://schemas.openxmlformats.org/officeDocument/2006/customXml" ds:itemID="{512CB767-393D-4EB6-A605-55217DCFBA54}">
  <ds:schemaRefs/>
</ds:datastoreItem>
</file>

<file path=customXml/itemProps23.xml><?xml version="1.0" encoding="utf-8"?>
<ds:datastoreItem xmlns:ds="http://schemas.openxmlformats.org/officeDocument/2006/customXml" ds:itemID="{E67F9817-AE8C-45ED-B5E6-71D5CFA365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fact_player</vt:lpstr>
      <vt:lpstr>dim_venue</vt:lpstr>
      <vt:lpstr>fact_match</vt:lpstr>
      <vt:lpstr>dim_team</vt:lpstr>
      <vt:lpstr>dim_player</vt:lpstr>
      <vt:lpstr>Sheet5</vt:lpstr>
      <vt:lpstr>Sheet1</vt:lpstr>
      <vt:lpstr>Sheet2</vt:lpstr>
      <vt:lpstr>Team_summary</vt:lpstr>
      <vt:lpstr>Player_Summary</vt:lpstr>
      <vt:lpstr>Sheet3</vt:lpstr>
      <vt:lpstr>Player Performance Dashboard</vt:lpstr>
      <vt:lpstr>Team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batra</dc:creator>
  <cp:lastModifiedBy>Harshita batra</cp:lastModifiedBy>
  <dcterms:created xsi:type="dcterms:W3CDTF">2026-02-26T12:53:37Z</dcterms:created>
  <dcterms:modified xsi:type="dcterms:W3CDTF">2026-03-01T11:27:29Z</dcterms:modified>
</cp:coreProperties>
</file>